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xml" ContentType="application/vnd.openxmlformats-officedocument.drawing+xml"/>
  <Override PartName="/xl/slicers/slicer2.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ayesh\OneDrive\Desktop\"/>
    </mc:Choice>
  </mc:AlternateContent>
  <xr:revisionPtr revIDLastSave="0" documentId="13_ncr:1_{2D71FEDE-9E5D-42BB-B311-F9CD7FA21903}" xr6:coauthVersionLast="47" xr6:coauthVersionMax="47" xr10:uidLastSave="{00000000-0000-0000-0000-000000000000}"/>
  <bookViews>
    <workbookView xWindow="-108" yWindow="-108" windowWidth="23256" windowHeight="12456" activeTab="2" xr2:uid="{3FC85727-0707-4CD4-B3F1-93AC931F3CCC}"/>
  </bookViews>
  <sheets>
    <sheet name="Data" sheetId="2" r:id="rId1"/>
    <sheet name="PivotTable" sheetId="7" r:id="rId2"/>
    <sheet name="Dashboard" sheetId="6" r:id="rId3"/>
  </sheets>
  <definedNames>
    <definedName name="_xlcn.WorksheetConnection_Book1InventoryData1" hidden="1">InventoryData[]</definedName>
    <definedName name="ExternalData_1" localSheetId="0" hidden="1">Data!$A$1:$J$101</definedName>
    <definedName name="Slicer_Category">#N/A</definedName>
    <definedName name="Slicer_Item_Name">#N/A</definedName>
    <definedName name="Slicer_Stock_Status">#N/A</definedName>
    <definedName name="Slicer_Supplier">#N/A</definedName>
    <definedName name="Slicer_Warehouse_Location">#N/A</definedName>
  </definedNames>
  <calcPr calcId="191029"/>
  <pivotCaches>
    <pivotCache cacheId="0" r:id="rId4"/>
    <pivotCache cacheId="1" r:id="rId5"/>
    <pivotCache cacheId="2" r:id="rId6"/>
    <pivotCache cacheId="3" r:id="rId7"/>
    <pivotCache cacheId="4" r:id="rId8"/>
    <pivotCache cacheId="5" r:id="rId9"/>
    <pivotCache cacheId="6" r:id="rId10"/>
    <pivotCache cacheId="7" r:id="rId11"/>
    <pivotCache cacheId="8" r:id="rId12"/>
    <pivotCache cacheId="9" r:id="rId13"/>
    <pivotCache cacheId="10" r:id="rId14"/>
    <pivotCache cacheId="11" r:id="rId15"/>
    <pivotCache cacheId="12" r:id="rId16"/>
    <pivotCache cacheId="13" r:id="rId17"/>
    <pivotCache cacheId="14" r:id="rId18"/>
    <pivotCache cacheId="15" r:id="rId19"/>
    <pivotCache cacheId="16" r:id="rId20"/>
    <pivotCache cacheId="17" r:id="rId21"/>
    <pivotCache cacheId="18" r:id="rId22"/>
  </pivotCaches>
  <extLst>
    <ext xmlns:x14="http://schemas.microsoft.com/office/spreadsheetml/2009/9/main" uri="{876F7934-8845-4945-9796-88D515C7AA90}">
      <x14:pivotCaches>
        <pivotCache cacheId="19" r:id="rId23"/>
      </x14:pivotCaches>
    </ext>
    <ext xmlns:x14="http://schemas.microsoft.com/office/spreadsheetml/2009/9/main" uri="{BBE1A952-AA13-448e-AADC-164F8A28A991}">
      <x14:slicerCaches>
        <x14:slicerCache r:id="rId24"/>
        <x14:slicerCache r:id="rId25"/>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eet1_53f53a81-ac4b-4077-93b2-72fc00b085c4" name="Sheet1" connection="Query - Sheet1"/>
          <x15:modelTable id="InventoryData" name="InventoryData" connection="WorksheetConnection_Book1!InventoryData"/>
        </x15:modelTables>
        <x15:extLst>
          <ext xmlns:x16="http://schemas.microsoft.com/office/spreadsheetml/2014/11/main" uri="{9835A34E-60A6-4A7C-AAB8-D5F71C897F49}">
            <x16:modelTimeGroupings>
              <x16:modelTimeGrouping tableName="InventoryData" columnName="Next Restock Date" columnId="Next Restock Date">
                <x16:calculatedTimeColumn columnName="Next Restock Date (Year)" columnId="Next Restock Date (Year)" contentType="years" isSelected="1"/>
                <x16:calculatedTimeColumn columnName="Next Restock Date (Quarter)" columnId="Next Restock Date (Quarter)" contentType="quarters" isSelected="1"/>
                <x16:calculatedTimeColumn columnName="Next Restock Date (Month Index)" columnId="Next Restock Date (Month Index)" contentType="monthsindex" isSelected="1"/>
                <x16:calculatedTimeColumn columnName="Next Restock Date (Month)" columnId="Next Restock Date (Month)" contentType="months" isSelected="1"/>
              </x16:modelTimeGrouping>
              <x16:modelTimeGrouping tableName="InventoryData" columnName="Last Ordered Date" columnId="Last Ordered Date">
                <x16:calculatedTimeColumn columnName="Last Ordered Date (Year)" columnId="Last Ordered Date (Year)" contentType="years" isSelected="1"/>
                <x16:calculatedTimeColumn columnName="Last Ordered Date (Quarter)" columnId="Last Ordered Date (Quarter)" contentType="quarters" isSelected="1"/>
                <x16:calculatedTimeColumn columnName="Last Ordered Date (Month Index)" columnId="Last Ordered Date (Month Index)" contentType="monthsindex" isSelected="1"/>
                <x16:calculatedTimeColumn columnName="Last Ordered Date (Month)" columnId="Last Ordered Date (Month)" contentType="months" isSelected="1"/>
              </x16:modelTimeGrouping>
            </x16:modelTimeGroupings>
          </ext>
        </x15:extLst>
      </x15:dataModel>
    </ext>
  </extLst>
</workbook>
</file>

<file path=xl/calcChain.xml><?xml version="1.0" encoding="utf-8"?>
<calcChain xmlns="http://schemas.openxmlformats.org/spreadsheetml/2006/main">
  <c r="N2" i="2" l="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M101" i="2"/>
  <c r="L101" i="2"/>
  <c r="K101" i="2"/>
  <c r="M100" i="2"/>
  <c r="L100" i="2"/>
  <c r="K100" i="2"/>
  <c r="M99" i="2"/>
  <c r="L99" i="2"/>
  <c r="K99" i="2"/>
  <c r="M98" i="2"/>
  <c r="L98" i="2"/>
  <c r="K98" i="2"/>
  <c r="M97" i="2"/>
  <c r="L97" i="2"/>
  <c r="K97" i="2"/>
  <c r="M96" i="2"/>
  <c r="L96" i="2"/>
  <c r="K96" i="2"/>
  <c r="M95" i="2"/>
  <c r="L95" i="2"/>
  <c r="K95" i="2"/>
  <c r="M94" i="2"/>
  <c r="L94" i="2"/>
  <c r="K94" i="2"/>
  <c r="M93" i="2"/>
  <c r="L93" i="2"/>
  <c r="K93" i="2"/>
  <c r="M92" i="2"/>
  <c r="L92" i="2"/>
  <c r="K92" i="2"/>
  <c r="M91" i="2"/>
  <c r="L91" i="2"/>
  <c r="K91" i="2"/>
  <c r="M90" i="2"/>
  <c r="L90" i="2"/>
  <c r="K90" i="2"/>
  <c r="M89" i="2"/>
  <c r="L89" i="2"/>
  <c r="K89" i="2"/>
  <c r="M88" i="2"/>
  <c r="L88" i="2"/>
  <c r="K88" i="2"/>
  <c r="M87" i="2"/>
  <c r="L87" i="2"/>
  <c r="K87" i="2"/>
  <c r="M86" i="2"/>
  <c r="L86" i="2"/>
  <c r="K86" i="2"/>
  <c r="M85" i="2"/>
  <c r="L85" i="2"/>
  <c r="K85" i="2"/>
  <c r="M84" i="2"/>
  <c r="L84" i="2"/>
  <c r="K84" i="2"/>
  <c r="M83" i="2"/>
  <c r="L83" i="2"/>
  <c r="K83" i="2"/>
  <c r="M82" i="2"/>
  <c r="L82" i="2"/>
  <c r="K82" i="2"/>
  <c r="M81" i="2"/>
  <c r="L81" i="2"/>
  <c r="K81" i="2"/>
  <c r="M80" i="2"/>
  <c r="L80" i="2"/>
  <c r="K80" i="2"/>
  <c r="M79" i="2"/>
  <c r="L79" i="2"/>
  <c r="K79" i="2"/>
  <c r="M78" i="2"/>
  <c r="L78" i="2"/>
  <c r="K78" i="2"/>
  <c r="M77" i="2"/>
  <c r="L77" i="2"/>
  <c r="K77" i="2"/>
  <c r="M76" i="2"/>
  <c r="L76" i="2"/>
  <c r="K76" i="2"/>
  <c r="M75" i="2"/>
  <c r="L75" i="2"/>
  <c r="K75" i="2"/>
  <c r="M74" i="2"/>
  <c r="L74" i="2"/>
  <c r="K74" i="2"/>
  <c r="M73" i="2"/>
  <c r="L73" i="2"/>
  <c r="K73" i="2"/>
  <c r="M72" i="2"/>
  <c r="L72" i="2"/>
  <c r="K72" i="2"/>
  <c r="M71" i="2"/>
  <c r="L71" i="2"/>
  <c r="K71" i="2"/>
  <c r="M70" i="2"/>
  <c r="L70" i="2"/>
  <c r="K70" i="2"/>
  <c r="M69" i="2"/>
  <c r="L69" i="2"/>
  <c r="K69" i="2"/>
  <c r="M68" i="2"/>
  <c r="L68" i="2"/>
  <c r="K68" i="2"/>
  <c r="M67" i="2"/>
  <c r="L67" i="2"/>
  <c r="K67" i="2"/>
  <c r="M66" i="2"/>
  <c r="L66" i="2"/>
  <c r="K66" i="2"/>
  <c r="M65" i="2"/>
  <c r="L65" i="2"/>
  <c r="K65" i="2"/>
  <c r="M64" i="2"/>
  <c r="L64" i="2"/>
  <c r="K64" i="2"/>
  <c r="M63" i="2"/>
  <c r="L63" i="2"/>
  <c r="K63" i="2"/>
  <c r="M62" i="2"/>
  <c r="L62" i="2"/>
  <c r="K62" i="2"/>
  <c r="M61" i="2"/>
  <c r="L61" i="2"/>
  <c r="K61" i="2"/>
  <c r="M60" i="2"/>
  <c r="L60" i="2"/>
  <c r="K60" i="2"/>
  <c r="M59" i="2"/>
  <c r="L59" i="2"/>
  <c r="K59" i="2"/>
  <c r="M58" i="2"/>
  <c r="L58" i="2"/>
  <c r="K58" i="2"/>
  <c r="M57" i="2"/>
  <c r="L57" i="2"/>
  <c r="K57" i="2"/>
  <c r="M56" i="2"/>
  <c r="L56" i="2"/>
  <c r="K56" i="2"/>
  <c r="M55" i="2"/>
  <c r="L55" i="2"/>
  <c r="K55" i="2"/>
  <c r="M54" i="2"/>
  <c r="L54" i="2"/>
  <c r="K54" i="2"/>
  <c r="M53" i="2"/>
  <c r="L53" i="2"/>
  <c r="K53" i="2"/>
  <c r="M52" i="2"/>
  <c r="L52" i="2"/>
  <c r="K52" i="2"/>
  <c r="M51" i="2"/>
  <c r="L51" i="2"/>
  <c r="K51" i="2"/>
  <c r="M50" i="2"/>
  <c r="L50" i="2"/>
  <c r="K50" i="2"/>
  <c r="M49" i="2"/>
  <c r="L49" i="2"/>
  <c r="K49" i="2"/>
  <c r="M48" i="2"/>
  <c r="L48" i="2"/>
  <c r="K48" i="2"/>
  <c r="M47" i="2"/>
  <c r="L47" i="2"/>
  <c r="K47" i="2"/>
  <c r="M46" i="2"/>
  <c r="L46" i="2"/>
  <c r="K46" i="2"/>
  <c r="M45" i="2"/>
  <c r="L45" i="2"/>
  <c r="K45" i="2"/>
  <c r="M44" i="2"/>
  <c r="L44" i="2"/>
  <c r="K44" i="2"/>
  <c r="M43" i="2"/>
  <c r="L43" i="2"/>
  <c r="K43" i="2"/>
  <c r="M42" i="2"/>
  <c r="L42" i="2"/>
  <c r="K42" i="2"/>
  <c r="M41" i="2"/>
  <c r="L41" i="2"/>
  <c r="K41" i="2"/>
  <c r="M40" i="2"/>
  <c r="L40" i="2"/>
  <c r="K40" i="2"/>
  <c r="M39" i="2"/>
  <c r="L39" i="2"/>
  <c r="K39" i="2"/>
  <c r="M38" i="2"/>
  <c r="L38" i="2"/>
  <c r="K38" i="2"/>
  <c r="M37" i="2"/>
  <c r="L37" i="2"/>
  <c r="K37" i="2"/>
  <c r="M36" i="2"/>
  <c r="L36" i="2"/>
  <c r="K36" i="2"/>
  <c r="M35" i="2"/>
  <c r="L35" i="2"/>
  <c r="K35" i="2"/>
  <c r="M34" i="2"/>
  <c r="L34" i="2"/>
  <c r="K34" i="2"/>
  <c r="M33" i="2"/>
  <c r="L33" i="2"/>
  <c r="K33" i="2"/>
  <c r="M32" i="2"/>
  <c r="L32" i="2"/>
  <c r="K32" i="2"/>
  <c r="M31" i="2"/>
  <c r="L31" i="2"/>
  <c r="K31" i="2"/>
  <c r="M30" i="2"/>
  <c r="L30" i="2"/>
  <c r="K30" i="2"/>
  <c r="M29" i="2"/>
  <c r="L29" i="2"/>
  <c r="K29" i="2"/>
  <c r="M28" i="2"/>
  <c r="L28" i="2"/>
  <c r="K28" i="2"/>
  <c r="M27" i="2"/>
  <c r="L27" i="2"/>
  <c r="K27" i="2"/>
  <c r="M26" i="2"/>
  <c r="L26" i="2"/>
  <c r="K26" i="2"/>
  <c r="M25" i="2"/>
  <c r="L25" i="2"/>
  <c r="K25" i="2"/>
  <c r="M24" i="2"/>
  <c r="L24" i="2"/>
  <c r="K24" i="2"/>
  <c r="M23" i="2"/>
  <c r="L23" i="2"/>
  <c r="K23" i="2"/>
  <c r="M22" i="2"/>
  <c r="L22" i="2"/>
  <c r="K22" i="2"/>
  <c r="M21" i="2"/>
  <c r="L21" i="2"/>
  <c r="K21" i="2"/>
  <c r="M20" i="2"/>
  <c r="L20" i="2"/>
  <c r="K20" i="2"/>
  <c r="M19" i="2"/>
  <c r="L19" i="2"/>
  <c r="K19" i="2"/>
  <c r="M18" i="2"/>
  <c r="L18" i="2"/>
  <c r="K18" i="2"/>
  <c r="M17" i="2"/>
  <c r="L17" i="2"/>
  <c r="K17" i="2"/>
  <c r="M16" i="2"/>
  <c r="L16" i="2"/>
  <c r="K16" i="2"/>
  <c r="M15" i="2"/>
  <c r="L15" i="2"/>
  <c r="K15" i="2"/>
  <c r="M14" i="2"/>
  <c r="L14" i="2"/>
  <c r="K14" i="2"/>
  <c r="M13" i="2"/>
  <c r="L13" i="2"/>
  <c r="K13" i="2"/>
  <c r="M12" i="2"/>
  <c r="L12" i="2"/>
  <c r="K12" i="2"/>
  <c r="M11" i="2"/>
  <c r="L11" i="2"/>
  <c r="K11" i="2"/>
  <c r="M10" i="2"/>
  <c r="L10" i="2"/>
  <c r="K10" i="2"/>
  <c r="M9" i="2"/>
  <c r="L9" i="2"/>
  <c r="K9" i="2"/>
  <c r="M8" i="2"/>
  <c r="L8" i="2"/>
  <c r="K8" i="2"/>
  <c r="M7" i="2"/>
  <c r="L7" i="2"/>
  <c r="K7" i="2"/>
  <c r="M6" i="2"/>
  <c r="L6" i="2"/>
  <c r="K6" i="2"/>
  <c r="M5" i="2"/>
  <c r="L5" i="2"/>
  <c r="K5" i="2"/>
  <c r="M4" i="2"/>
  <c r="L4" i="2"/>
  <c r="K4" i="2"/>
  <c r="M3" i="2"/>
  <c r="L3" i="2"/>
  <c r="K3" i="2"/>
  <c r="M2" i="2"/>
  <c r="L2" i="2"/>
  <c r="K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C68B457-73A6-4691-9B7A-ED60C029A2D2}" keepAlive="1" name="ModelConnection_ExternalData_1" description="Data Model" type="5" refreshedVersion="8" minRefreshableVersion="5" saveData="1">
    <dbPr connection="Data Model Connection" command="Sheet1" commandType="3"/>
    <extLst>
      <ext xmlns:x15="http://schemas.microsoft.com/office/spreadsheetml/2010/11/main" uri="{DE250136-89BD-433C-8126-D09CA5730AF9}">
        <x15:connection id="" model="1"/>
      </ext>
    </extLst>
  </connection>
  <connection id="2" xr16:uid="{D3153EE0-8453-48AD-8303-D99CF6FF3E0C}" name="Query - Sheet1" description="Connection to the 'Sheet1' query in the workbook." type="100" refreshedVersion="8" minRefreshableVersion="5">
    <extLst>
      <ext xmlns:x15="http://schemas.microsoft.com/office/spreadsheetml/2010/11/main" uri="{DE250136-89BD-433C-8126-D09CA5730AF9}">
        <x15:connection id="9f4669a2-8857-427e-9b1e-c9234551a34e"/>
      </ext>
    </extLst>
  </connection>
  <connection id="3" xr16:uid="{A3948C2B-0A46-4674-9A95-DF8CA452E0B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4" xr16:uid="{7E7E9E50-B14F-4808-A643-D50D039F2974}" name="WorksheetConnection_Book1!InventoryData" type="102" refreshedVersion="8" minRefreshableVersion="5">
    <extLst>
      <ext xmlns:x15="http://schemas.microsoft.com/office/spreadsheetml/2010/11/main" uri="{DE250136-89BD-433C-8126-D09CA5730AF9}">
        <x15:connection id="InventoryData" autoDelete="1">
          <x15:rangePr sourceName="_xlcn.WorksheetConnection_Book1InventoryData1"/>
        </x15:connection>
      </ext>
    </extLst>
  </connection>
</connections>
</file>

<file path=xl/sharedStrings.xml><?xml version="1.0" encoding="utf-8"?>
<sst xmlns="http://schemas.openxmlformats.org/spreadsheetml/2006/main" count="800" uniqueCount="234">
  <si>
    <t>Item ID</t>
  </si>
  <si>
    <t>Item Name</t>
  </si>
  <si>
    <t>Category</t>
  </si>
  <si>
    <t>Stock Quantity</t>
  </si>
  <si>
    <t>Reorder Level</t>
  </si>
  <si>
    <t>Unit Price</t>
  </si>
  <si>
    <t>Supplier</t>
  </si>
  <si>
    <t>Last Ordered Date</t>
  </si>
  <si>
    <t>Next Restock Date</t>
  </si>
  <si>
    <t>Warehouse Location</t>
  </si>
  <si>
    <t>ELE0001</t>
  </si>
  <si>
    <t>Electronics Item 1</t>
  </si>
  <si>
    <t>Category C</t>
  </si>
  <si>
    <t>Supplier Z</t>
  </si>
  <si>
    <t>Warehouse B</t>
  </si>
  <si>
    <t>ELE0002</t>
  </si>
  <si>
    <t>Electronics Item 2</t>
  </si>
  <si>
    <t>Category A</t>
  </si>
  <si>
    <t>Supplier Y</t>
  </si>
  <si>
    <t>Warehouse A</t>
  </si>
  <si>
    <t>ELE0003</t>
  </si>
  <si>
    <t>Electronics Item 3</t>
  </si>
  <si>
    <t>ELE0004</t>
  </si>
  <si>
    <t>Electronics Item 4</t>
  </si>
  <si>
    <t>Warehouse C</t>
  </si>
  <si>
    <t>ELE0005</t>
  </si>
  <si>
    <t>Electronics Item 5</t>
  </si>
  <si>
    <t>Supplier X</t>
  </si>
  <si>
    <t>ELE0006</t>
  </si>
  <si>
    <t>Electronics Item 6</t>
  </si>
  <si>
    <t>ELE0007</t>
  </si>
  <si>
    <t>Electronics Item 7</t>
  </si>
  <si>
    <t>ELE0008</t>
  </si>
  <si>
    <t>Electronics Item 8</t>
  </si>
  <si>
    <t>Category B</t>
  </si>
  <si>
    <t>ELE0009</t>
  </si>
  <si>
    <t>Electronics Item 9</t>
  </si>
  <si>
    <t>ELE0010</t>
  </si>
  <si>
    <t>Electronics Item 10</t>
  </si>
  <si>
    <t>ELE0011</t>
  </si>
  <si>
    <t>Electronics Item 11</t>
  </si>
  <si>
    <t>ELE0012</t>
  </si>
  <si>
    <t>Electronics Item 12</t>
  </si>
  <si>
    <t>ELE0013</t>
  </si>
  <si>
    <t>Electronics Item 13</t>
  </si>
  <si>
    <t>ELE0014</t>
  </si>
  <si>
    <t>Electronics Item 14</t>
  </si>
  <si>
    <t>ELE0015</t>
  </si>
  <si>
    <t>Electronics Item 15</t>
  </si>
  <si>
    <t>ELE0016</t>
  </si>
  <si>
    <t>Electronics Item 16</t>
  </si>
  <si>
    <t>ELE0017</t>
  </si>
  <si>
    <t>Electronics Item 17</t>
  </si>
  <si>
    <t>ELE0018</t>
  </si>
  <si>
    <t>Electronics Item 18</t>
  </si>
  <si>
    <t>ELE0019</t>
  </si>
  <si>
    <t>Electronics Item 19</t>
  </si>
  <si>
    <t>ELE0020</t>
  </si>
  <si>
    <t>Electronics Item 20</t>
  </si>
  <si>
    <t>ELE0021</t>
  </si>
  <si>
    <t>Electronics Item 21</t>
  </si>
  <si>
    <t>ELE0022</t>
  </si>
  <si>
    <t>Electronics Item 22</t>
  </si>
  <si>
    <t>ELE0023</t>
  </si>
  <si>
    <t>Electronics Item 23</t>
  </si>
  <si>
    <t>ELE0024</t>
  </si>
  <si>
    <t>Electronics Item 24</t>
  </si>
  <si>
    <t>ELE0025</t>
  </si>
  <si>
    <t>Electronics Item 25</t>
  </si>
  <si>
    <t>ELE0026</t>
  </si>
  <si>
    <t>Electronics Item 26</t>
  </si>
  <si>
    <t>ELE0027</t>
  </si>
  <si>
    <t>Electronics Item 27</t>
  </si>
  <si>
    <t>ELE0028</t>
  </si>
  <si>
    <t>Electronics Item 28</t>
  </si>
  <si>
    <t>ELE0029</t>
  </si>
  <si>
    <t>Electronics Item 29</t>
  </si>
  <si>
    <t>ELE0030</t>
  </si>
  <si>
    <t>Electronics Item 30</t>
  </si>
  <si>
    <t>ELE0031</t>
  </si>
  <si>
    <t>Electronics Item 31</t>
  </si>
  <si>
    <t>ELE0032</t>
  </si>
  <si>
    <t>Electronics Item 32</t>
  </si>
  <si>
    <t>ELE0033</t>
  </si>
  <si>
    <t>Electronics Item 33</t>
  </si>
  <si>
    <t>ELE0034</t>
  </si>
  <si>
    <t>Electronics Item 34</t>
  </si>
  <si>
    <t>ELE0035</t>
  </si>
  <si>
    <t>Electronics Item 35</t>
  </si>
  <si>
    <t>ELE0036</t>
  </si>
  <si>
    <t>Electronics Item 36</t>
  </si>
  <si>
    <t>ELE0037</t>
  </si>
  <si>
    <t>Electronics Item 37</t>
  </si>
  <si>
    <t>ELE0038</t>
  </si>
  <si>
    <t>Electronics Item 38</t>
  </si>
  <si>
    <t>ELE0039</t>
  </si>
  <si>
    <t>Electronics Item 39</t>
  </si>
  <si>
    <t>ELE0040</t>
  </si>
  <si>
    <t>Electronics Item 40</t>
  </si>
  <si>
    <t>ELE0041</t>
  </si>
  <si>
    <t>Electronics Item 41</t>
  </si>
  <si>
    <t>ELE0042</t>
  </si>
  <si>
    <t>Electronics Item 42</t>
  </si>
  <si>
    <t>ELE0043</t>
  </si>
  <si>
    <t>Electronics Item 43</t>
  </si>
  <si>
    <t>ELE0044</t>
  </si>
  <si>
    <t>Electronics Item 44</t>
  </si>
  <si>
    <t>ELE0045</t>
  </si>
  <si>
    <t>Electronics Item 45</t>
  </si>
  <si>
    <t>ELE0046</t>
  </si>
  <si>
    <t>Electronics Item 46</t>
  </si>
  <si>
    <t>ELE0047</t>
  </si>
  <si>
    <t>Electronics Item 47</t>
  </si>
  <si>
    <t>ELE0048</t>
  </si>
  <si>
    <t>Electronics Item 48</t>
  </si>
  <si>
    <t>ELE0049</t>
  </si>
  <si>
    <t>Electronics Item 49</t>
  </si>
  <si>
    <t>ELE0050</t>
  </si>
  <si>
    <t>Electronics Item 50</t>
  </si>
  <si>
    <t>ELE0051</t>
  </si>
  <si>
    <t>Electronics Item 51</t>
  </si>
  <si>
    <t>ELE0052</t>
  </si>
  <si>
    <t>Electronics Item 52</t>
  </si>
  <si>
    <t>ELE0053</t>
  </si>
  <si>
    <t>Electronics Item 53</t>
  </si>
  <si>
    <t>ELE0054</t>
  </si>
  <si>
    <t>Electronics Item 54</t>
  </si>
  <si>
    <t>ELE0055</t>
  </si>
  <si>
    <t>Electronics Item 55</t>
  </si>
  <si>
    <t>ELE0056</t>
  </si>
  <si>
    <t>Electronics Item 56</t>
  </si>
  <si>
    <t>ELE0057</t>
  </si>
  <si>
    <t>Electronics Item 57</t>
  </si>
  <si>
    <t>ELE0058</t>
  </si>
  <si>
    <t>Electronics Item 58</t>
  </si>
  <si>
    <t>ELE0059</t>
  </si>
  <si>
    <t>Electronics Item 59</t>
  </si>
  <si>
    <t>ELE0060</t>
  </si>
  <si>
    <t>Electronics Item 60</t>
  </si>
  <si>
    <t>ELE0061</t>
  </si>
  <si>
    <t>Electronics Item 61</t>
  </si>
  <si>
    <t>ELE0062</t>
  </si>
  <si>
    <t>Electronics Item 62</t>
  </si>
  <si>
    <t>ELE0063</t>
  </si>
  <si>
    <t>Electronics Item 63</t>
  </si>
  <si>
    <t>ELE0064</t>
  </si>
  <si>
    <t>Electronics Item 64</t>
  </si>
  <si>
    <t>ELE0065</t>
  </si>
  <si>
    <t>Electronics Item 65</t>
  </si>
  <si>
    <t>ELE0066</t>
  </si>
  <si>
    <t>Electronics Item 66</t>
  </si>
  <si>
    <t>ELE0067</t>
  </si>
  <si>
    <t>Electronics Item 67</t>
  </si>
  <si>
    <t>ELE0068</t>
  </si>
  <si>
    <t>Electronics Item 68</t>
  </si>
  <si>
    <t>ELE0069</t>
  </si>
  <si>
    <t>Electronics Item 69</t>
  </si>
  <si>
    <t>ELE0070</t>
  </si>
  <si>
    <t>Electronics Item 70</t>
  </si>
  <si>
    <t>ELE0071</t>
  </si>
  <si>
    <t>Electronics Item 71</t>
  </si>
  <si>
    <t>ELE0072</t>
  </si>
  <si>
    <t>Electronics Item 72</t>
  </si>
  <si>
    <t>ELE0073</t>
  </si>
  <si>
    <t>Electronics Item 73</t>
  </si>
  <si>
    <t>ELE0074</t>
  </si>
  <si>
    <t>Electronics Item 74</t>
  </si>
  <si>
    <t>ELE0075</t>
  </si>
  <si>
    <t>Electronics Item 75</t>
  </si>
  <si>
    <t>ELE0076</t>
  </si>
  <si>
    <t>Electronics Item 76</t>
  </si>
  <si>
    <t>ELE0077</t>
  </si>
  <si>
    <t>Electronics Item 77</t>
  </si>
  <si>
    <t>ELE0078</t>
  </si>
  <si>
    <t>Electronics Item 78</t>
  </si>
  <si>
    <t>ELE0079</t>
  </si>
  <si>
    <t>Electronics Item 79</t>
  </si>
  <si>
    <t>ELE0080</t>
  </si>
  <si>
    <t>Electronics Item 80</t>
  </si>
  <si>
    <t>ELE0081</t>
  </si>
  <si>
    <t>Electronics Item 81</t>
  </si>
  <si>
    <t>ELE0082</t>
  </si>
  <si>
    <t>Electronics Item 82</t>
  </si>
  <si>
    <t>ELE0083</t>
  </si>
  <si>
    <t>Electronics Item 83</t>
  </si>
  <si>
    <t>ELE0084</t>
  </si>
  <si>
    <t>Electronics Item 84</t>
  </si>
  <si>
    <t>ELE0085</t>
  </si>
  <si>
    <t>Electronics Item 85</t>
  </si>
  <si>
    <t>ELE0086</t>
  </si>
  <si>
    <t>Electronics Item 86</t>
  </si>
  <si>
    <t>ELE0087</t>
  </si>
  <si>
    <t>Electronics Item 87</t>
  </si>
  <si>
    <t>ELE0088</t>
  </si>
  <si>
    <t>Electronics Item 88</t>
  </si>
  <si>
    <t>ELE0089</t>
  </si>
  <si>
    <t>Electronics Item 89</t>
  </si>
  <si>
    <t>ELE0090</t>
  </si>
  <si>
    <t>Electronics Item 90</t>
  </si>
  <si>
    <t>ELE0091</t>
  </si>
  <si>
    <t>Electronics Item 91</t>
  </si>
  <si>
    <t>ELE0092</t>
  </si>
  <si>
    <t>Electronics Item 92</t>
  </si>
  <si>
    <t>ELE0093</t>
  </si>
  <si>
    <t>Electronics Item 93</t>
  </si>
  <si>
    <t>ELE0094</t>
  </si>
  <si>
    <t>Electronics Item 94</t>
  </si>
  <si>
    <t>ELE0095</t>
  </si>
  <si>
    <t>Electronics Item 95</t>
  </si>
  <si>
    <t>ELE0096</t>
  </si>
  <si>
    <t>Electronics Item 96</t>
  </si>
  <si>
    <t>ELE0097</t>
  </si>
  <si>
    <t>Electronics Item 97</t>
  </si>
  <si>
    <t>ELE0098</t>
  </si>
  <si>
    <t>Electronics Item 98</t>
  </si>
  <si>
    <t>ELE0099</t>
  </si>
  <si>
    <t>Electronics Item 99</t>
  </si>
  <si>
    <t>ELE0100</t>
  </si>
  <si>
    <t>Electronics Item 100</t>
  </si>
  <si>
    <t>Stock Status</t>
  </si>
  <si>
    <t>Stock Value</t>
  </si>
  <si>
    <t>Month of Last Order</t>
  </si>
  <si>
    <t>Grand Total</t>
  </si>
  <si>
    <t>Sum of Stock Quantity</t>
  </si>
  <si>
    <t>Sum of Stock Value</t>
  </si>
  <si>
    <t>Count of Item ID</t>
  </si>
  <si>
    <t>Below Reorder</t>
  </si>
  <si>
    <t>Total Value</t>
  </si>
  <si>
    <t>Row Labels</t>
  </si>
  <si>
    <t>Sufficient</t>
  </si>
  <si>
    <t>Sum of Reorder Level</t>
  </si>
  <si>
    <t>Column Labels</t>
  </si>
  <si>
    <t>Average of Stock Quantity</t>
  </si>
  <si>
    <t>Average of Stock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</si>
</sst>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Red]0.00"/>
    <numFmt numFmtId="165" formatCode="&quot;₹&quot;\ #,##0.00;[Red]&quot;₹&quot;\ #,##0.00"/>
  </numFmts>
  <fonts count="4" x14ac:knownFonts="1">
    <font>
      <sz val="11"/>
      <color theme="1"/>
      <name val="Tw Cen MT"/>
      <family val="2"/>
      <scheme val="minor"/>
    </font>
    <font>
      <sz val="11"/>
      <color indexed="8"/>
      <name val="Calibri"/>
      <family val="2"/>
    </font>
    <font>
      <sz val="11"/>
      <color theme="0"/>
      <name val="Tw Cen MT"/>
      <family val="2"/>
      <scheme val="minor"/>
    </font>
    <font>
      <sz val="8"/>
      <name val="Tw Cen MT"/>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14" fontId="0" fillId="0" borderId="0" xfId="0" applyNumberFormat="1"/>
    <xf numFmtId="0" fontId="1" fillId="0" borderId="0" xfId="0" applyFont="1"/>
    <xf numFmtId="164" fontId="0" fillId="0" borderId="0" xfId="0" applyNumberFormat="1"/>
    <xf numFmtId="165" fontId="2" fillId="0" borderId="0" xfId="0" applyNumberFormat="1" applyFont="1"/>
    <xf numFmtId="165" fontId="0" fillId="0" borderId="0" xfId="0" applyNumberFormat="1"/>
  </cellXfs>
  <cellStyles count="1">
    <cellStyle name="Normal" xfId="0" builtinId="0"/>
  </cellStyles>
  <dxfs count="14">
    <dxf>
      <numFmt numFmtId="164" formatCode="0.00;[Red]0.00"/>
    </dxf>
    <dxf>
      <numFmt numFmtId="0" formatCode="General"/>
    </dxf>
    <dxf>
      <numFmt numFmtId="165" formatCode="&quot;₹&quot;\ #,##0.00;[Red]&quot;₹&quot;\ #,##0.00"/>
    </dxf>
    <dxf>
      <numFmt numFmtId="0" formatCode="General"/>
    </dxf>
    <dxf>
      <numFmt numFmtId="0" formatCode="General"/>
    </dxf>
    <dxf>
      <numFmt numFmtId="19" formatCode="dd/mm/yyyy"/>
    </dxf>
    <dxf>
      <numFmt numFmtId="19" formatCode="dd/mm/yyyy"/>
    </dxf>
    <dxf>
      <numFmt numFmtId="0" formatCode="General"/>
    </dxf>
    <dxf>
      <numFmt numFmtId="165" formatCode="&quot;₹&quot;\ #,##0.00;[Red]&quot;₹&quot;\ #,##0.00"/>
    </dxf>
    <dxf>
      <numFmt numFmtId="0" formatCode="General"/>
    </dxf>
    <dxf>
      <numFmt numFmtId="0" formatCode="General"/>
    </dxf>
    <dxf>
      <numFmt numFmtId="0" formatCode="Genera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26" Type="http://schemas.microsoft.com/office/2007/relationships/slicerCache" Target="slicerCaches/slicerCache3.xml"/><Relationship Id="rId3" Type="http://schemas.openxmlformats.org/officeDocument/2006/relationships/worksheet" Target="worksheets/sheet3.xml"/><Relationship Id="rId21" Type="http://schemas.openxmlformats.org/officeDocument/2006/relationships/pivotCacheDefinition" Target="pivotCache/pivotCacheDefinition18.xml"/><Relationship Id="rId34" Type="http://schemas.openxmlformats.org/officeDocument/2006/relationships/calcChain" Target="calcChain.xml"/><Relationship Id="rId7" Type="http://schemas.openxmlformats.org/officeDocument/2006/relationships/pivotCacheDefinition" Target="pivotCache/pivotCacheDefinition4.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microsoft.com/office/2007/relationships/slicerCache" Target="slicerCaches/slicerCache2.xml"/><Relationship Id="rId33"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0" Type="http://schemas.openxmlformats.org/officeDocument/2006/relationships/pivotCacheDefinition" Target="pivotCache/pivotCacheDefinition17.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1" Type="http://schemas.openxmlformats.org/officeDocument/2006/relationships/pivotCacheDefinition" Target="pivotCache/pivotCacheDefinition8.xml"/><Relationship Id="rId24" Type="http://schemas.microsoft.com/office/2007/relationships/slicerCache" Target="slicerCaches/slicerCache1.xml"/><Relationship Id="rId32" Type="http://schemas.openxmlformats.org/officeDocument/2006/relationships/sharedStrings" Target="sharedStrings.xml"/><Relationship Id="rId5" Type="http://schemas.openxmlformats.org/officeDocument/2006/relationships/pivotCacheDefinition" Target="pivotCache/pivotCacheDefinition2.xml"/><Relationship Id="rId15" Type="http://schemas.openxmlformats.org/officeDocument/2006/relationships/pivotCacheDefinition" Target="pivotCache/pivotCacheDefinition12.xml"/><Relationship Id="rId23" Type="http://schemas.openxmlformats.org/officeDocument/2006/relationships/pivotCacheDefinition" Target="pivotCache/pivotCacheDefinition20.xml"/><Relationship Id="rId28" Type="http://schemas.microsoft.com/office/2007/relationships/slicerCache" Target="slicerCaches/slicerCache5.xml"/><Relationship Id="rId36" Type="http://schemas.microsoft.com/office/2006/relationships/vbaProject" Target="vbaProject.bin"/><Relationship Id="rId10" Type="http://schemas.openxmlformats.org/officeDocument/2006/relationships/pivotCacheDefinition" Target="pivotCache/pivotCacheDefinition7.xml"/><Relationship Id="rId19" Type="http://schemas.openxmlformats.org/officeDocument/2006/relationships/pivotCacheDefinition" Target="pivotCache/pivotCacheDefinition16.xml"/><Relationship Id="rId31" Type="http://schemas.openxmlformats.org/officeDocument/2006/relationships/styles" Target="styles.xml"/><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4" Type="http://schemas.openxmlformats.org/officeDocument/2006/relationships/pivotCacheDefinition" Target="pivotCache/pivotCacheDefinition11.xml"/><Relationship Id="rId22" Type="http://schemas.openxmlformats.org/officeDocument/2006/relationships/pivotCacheDefinition" Target="pivotCache/pivotCacheDefinition19.xml"/><Relationship Id="rId27" Type="http://schemas.microsoft.com/office/2007/relationships/slicerCache" Target="slicerCaches/slicerCache4.xml"/><Relationship Id="rId30" Type="http://schemas.openxmlformats.org/officeDocument/2006/relationships/connections" Target="connections.xml"/><Relationship Id="rId35" Type="http://schemas.openxmlformats.org/officeDocument/2006/relationships/customXml" Target="../customXml/item1.xml"/><Relationship Id="rId8" Type="http://schemas.openxmlformats.org/officeDocument/2006/relationships/pivotCacheDefinition" Target="pivotCache/pivotCacheDefinition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PivotTable!$M$1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90D-40C1-B227-66BF4725D9C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90D-40C1-B227-66BF4725D9C4}"/>
              </c:ext>
            </c:extLst>
          </c:dPt>
          <c:cat>
            <c:strRef>
              <c:f>PivotTable!$L$2:$L$4</c:f>
              <c:strCache>
                <c:ptCount val="2"/>
                <c:pt idx="0">
                  <c:v>Below Reorder</c:v>
                </c:pt>
                <c:pt idx="1">
                  <c:v>Sufficient</c:v>
                </c:pt>
              </c:strCache>
            </c:strRef>
          </c:cat>
          <c:val>
            <c:numRef>
              <c:f>PivotTable!$M$2:$M$4</c:f>
              <c:numCache>
                <c:formatCode>General</c:formatCode>
                <c:ptCount val="2"/>
                <c:pt idx="0">
                  <c:v>31</c:v>
                </c:pt>
                <c:pt idx="1">
                  <c:v>69</c:v>
                </c:pt>
              </c:numCache>
            </c:numRef>
          </c:val>
          <c:extLst>
            <c:ext xmlns:c16="http://schemas.microsoft.com/office/drawing/2014/chart" uri="{C3380CC4-5D6E-409C-BE32-E72D297353CC}">
              <c16:uniqueId val="{00000000-51A1-496F-92DC-6629A0BEA95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PivotTable!$P$1</c:f>
              <c:strCache>
                <c:ptCount val="1"/>
                <c:pt idx="0">
                  <c:v>Total</c:v>
                </c:pt>
              </c:strCache>
            </c:strRef>
          </c:tx>
          <c:spPr>
            <a:solidFill>
              <a:schemeClr val="accent1"/>
            </a:solidFill>
            <a:ln>
              <a:noFill/>
            </a:ln>
            <a:effectLst/>
          </c:spPr>
          <c:invertIfNegative val="0"/>
          <c:cat>
            <c:strRef>
              <c:f>PivotTable!$O$2:$O$5</c:f>
              <c:strCache>
                <c:ptCount val="3"/>
                <c:pt idx="0">
                  <c:v>Category A</c:v>
                </c:pt>
                <c:pt idx="1">
                  <c:v>Category B</c:v>
                </c:pt>
                <c:pt idx="2">
                  <c:v>Category C</c:v>
                </c:pt>
              </c:strCache>
            </c:strRef>
          </c:cat>
          <c:val>
            <c:numRef>
              <c:f>PivotTable!$P$2:$P$5</c:f>
              <c:numCache>
                <c:formatCode>General</c:formatCode>
                <c:ptCount val="3"/>
                <c:pt idx="0">
                  <c:v>1967566.4199999995</c:v>
                </c:pt>
                <c:pt idx="1">
                  <c:v>2307882.8099999996</c:v>
                </c:pt>
                <c:pt idx="2">
                  <c:v>1668447.8999999997</c:v>
                </c:pt>
              </c:numCache>
            </c:numRef>
          </c:val>
          <c:extLst>
            <c:ext xmlns:c16="http://schemas.microsoft.com/office/drawing/2014/chart" uri="{C3380CC4-5D6E-409C-BE32-E72D297353CC}">
              <c16:uniqueId val="{00000000-3025-49DC-A23B-322872222FCD}"/>
            </c:ext>
          </c:extLst>
        </c:ser>
        <c:dLbls>
          <c:showLegendKey val="0"/>
          <c:showVal val="0"/>
          <c:showCatName val="0"/>
          <c:showSerName val="0"/>
          <c:showPercent val="0"/>
          <c:showBubbleSize val="0"/>
        </c:dLbls>
        <c:gapWidth val="219"/>
        <c:overlap val="-27"/>
        <c:axId val="2070469087"/>
        <c:axId val="2070469567"/>
      </c:barChart>
      <c:catAx>
        <c:axId val="20704690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469567"/>
        <c:crosses val="autoZero"/>
        <c:auto val="1"/>
        <c:lblAlgn val="ctr"/>
        <c:lblOffset val="100"/>
        <c:noMultiLvlLbl val="0"/>
      </c:catAx>
      <c:valAx>
        <c:axId val="2070469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04690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2.777777777777676E-3"/>
              <c:y val="-0.19907407407407407"/>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2.7777777777777779E-3"/>
              <c:y val="-0.14351851851851852"/>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277777777777775E-2"/>
              <c:y val="-0.23148148148148148"/>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PivotTable!$H$7</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4-BC04-45E5-A800-43DAD064296B}"/>
              </c:ext>
            </c:extLst>
          </c:dPt>
          <c:dPt>
            <c:idx val="1"/>
            <c:bubble3D val="0"/>
            <c:extLst>
              <c:ext xmlns:c16="http://schemas.microsoft.com/office/drawing/2014/chart" uri="{C3380CC4-5D6E-409C-BE32-E72D297353CC}">
                <c16:uniqueId val="{00000003-BC04-45E5-A800-43DAD064296B}"/>
              </c:ext>
            </c:extLst>
          </c:dPt>
          <c:dPt>
            <c:idx val="2"/>
            <c:bubble3D val="0"/>
            <c:extLst>
              <c:ext xmlns:c16="http://schemas.microsoft.com/office/drawing/2014/chart" uri="{C3380CC4-5D6E-409C-BE32-E72D297353CC}">
                <c16:uniqueId val="{00000002-BC04-45E5-A800-43DAD064296B}"/>
              </c:ext>
            </c:extLst>
          </c:dPt>
          <c:dLbls>
            <c:dLbl>
              <c:idx val="0"/>
              <c:layout>
                <c:manualLayout>
                  <c:x val="5.277777777777775E-2"/>
                  <c:y val="-0.2314814814814814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C04-45E5-A800-43DAD064296B}"/>
                </c:ext>
              </c:extLst>
            </c:dLbl>
            <c:dLbl>
              <c:idx val="1"/>
              <c:layout>
                <c:manualLayout>
                  <c:x val="2.7777777777777779E-3"/>
                  <c:y val="-0.143518518518518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C04-45E5-A800-43DAD064296B}"/>
                </c:ext>
              </c:extLst>
            </c:dLbl>
            <c:dLbl>
              <c:idx val="2"/>
              <c:layout>
                <c:manualLayout>
                  <c:x val="-2.777777777777676E-3"/>
                  <c:y val="-0.199074074074074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C04-45E5-A800-43DAD064296B}"/>
                </c:ext>
              </c:extLst>
            </c:dLbl>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PivotTable!$G$8:$G$11</c:f>
              <c:strCache>
                <c:ptCount val="3"/>
                <c:pt idx="0">
                  <c:v>Warehouse A</c:v>
                </c:pt>
                <c:pt idx="1">
                  <c:v>Warehouse B</c:v>
                </c:pt>
                <c:pt idx="2">
                  <c:v>Warehouse C</c:v>
                </c:pt>
              </c:strCache>
            </c:strRef>
          </c:cat>
          <c:val>
            <c:numRef>
              <c:f>PivotTable!$H$8:$H$11</c:f>
              <c:numCache>
                <c:formatCode>General</c:formatCode>
                <c:ptCount val="3"/>
                <c:pt idx="0">
                  <c:v>62245.447073170719</c:v>
                </c:pt>
                <c:pt idx="1">
                  <c:v>55258.412799999991</c:v>
                </c:pt>
                <c:pt idx="2">
                  <c:v>59128.631764705875</c:v>
                </c:pt>
              </c:numCache>
            </c:numRef>
          </c:val>
          <c:extLst>
            <c:ext xmlns:c16="http://schemas.microsoft.com/office/drawing/2014/chart" uri="{C3380CC4-5D6E-409C-BE32-E72D297353CC}">
              <c16:uniqueId val="{00000000-BC04-45E5-A800-43DAD064296B}"/>
            </c:ext>
          </c:extLst>
        </c:ser>
        <c:dLbls>
          <c:showLegendKey val="0"/>
          <c:showVal val="1"/>
          <c:showCatName val="0"/>
          <c:showSerName val="0"/>
          <c:showPercent val="0"/>
          <c:showBubbleSize val="0"/>
        </c:dLbls>
        <c:axId val="194141231"/>
        <c:axId val="194141711"/>
      </c:areaChart>
      <c:catAx>
        <c:axId val="19414123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41711"/>
        <c:crosses val="autoZero"/>
        <c:auto val="1"/>
        <c:lblAlgn val="ctr"/>
        <c:lblOffset val="100"/>
        <c:noMultiLvlLbl val="0"/>
      </c:catAx>
      <c:valAx>
        <c:axId val="194141711"/>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412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Copy.xlsm]PivotTable!PivotTable10</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PivotTable!$E$7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PivotTable!$D$8:$D$11</c:f>
              <c:strCache>
                <c:ptCount val="3"/>
                <c:pt idx="0">
                  <c:v>Warehouse A</c:v>
                </c:pt>
                <c:pt idx="1">
                  <c:v>Warehouse B</c:v>
                </c:pt>
                <c:pt idx="2">
                  <c:v>Warehouse C</c:v>
                </c:pt>
              </c:strCache>
            </c:strRef>
          </c:cat>
          <c:val>
            <c:numRef>
              <c:f>PivotTable!$E$8:$E$11</c:f>
              <c:numCache>
                <c:formatCode>General</c:formatCode>
                <c:ptCount val="3"/>
                <c:pt idx="0">
                  <c:v>2552063.3299999996</c:v>
                </c:pt>
                <c:pt idx="1">
                  <c:v>1381460.3199999998</c:v>
                </c:pt>
                <c:pt idx="2">
                  <c:v>2010373.4799999997</c:v>
                </c:pt>
              </c:numCache>
            </c:numRef>
          </c:val>
          <c:extLst>
            <c:ext xmlns:c16="http://schemas.microsoft.com/office/drawing/2014/chart" uri="{C3380CC4-5D6E-409C-BE32-E72D297353CC}">
              <c16:uniqueId val="{00000000-2947-4098-9535-ACA7C65F8B31}"/>
            </c:ext>
          </c:extLst>
        </c:ser>
        <c:dLbls>
          <c:dLblPos val="outEnd"/>
          <c:showLegendKey val="0"/>
          <c:showVal val="1"/>
          <c:showCatName val="0"/>
          <c:showSerName val="0"/>
          <c:showPercent val="0"/>
          <c:showBubbleSize val="0"/>
        </c:dLbls>
        <c:gapWidth val="219"/>
        <c:overlap val="-27"/>
        <c:axId val="194109071"/>
        <c:axId val="194109551"/>
      </c:barChart>
      <c:catAx>
        <c:axId val="194109071"/>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09551"/>
        <c:crosses val="autoZero"/>
        <c:auto val="1"/>
        <c:lblAlgn val="ctr"/>
        <c:lblOffset val="100"/>
        <c:noMultiLvlLbl val="0"/>
      </c:catAx>
      <c:valAx>
        <c:axId val="194109551"/>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09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Copy.xlsm]PivotTable!PivotTable9</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Total Stock Quantity by Warehouse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1944444444444445"/>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w="19050">
            <a:solidFill>
              <a:schemeClr val="lt1"/>
            </a:solidFill>
          </a:ln>
          <a:effectLst/>
        </c:spPr>
        <c:dLbl>
          <c:idx val="0"/>
          <c:layout>
            <c:manualLayout>
              <c:x val="-3.0555555555555555E-2"/>
              <c:y val="0.1226003490401396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w="19050">
            <a:solidFill>
              <a:schemeClr val="lt1"/>
            </a:solidFill>
          </a:ln>
          <a:effectLst/>
        </c:spPr>
        <c:dLbl>
          <c:idx val="0"/>
          <c:layout>
            <c:manualLayout>
              <c:x val="-0.1416666666666666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30551596675415571"/>
          <c:y val="0.23821130670184551"/>
          <c:w val="0.38896806649168852"/>
          <c:h val="0.61094460705500819"/>
        </c:manualLayout>
      </c:layout>
      <c:doughnutChart>
        <c:varyColors val="1"/>
        <c:ser>
          <c:idx val="0"/>
          <c:order val="0"/>
          <c:tx>
            <c:strRef>
              <c:f>PivotTable!$B$7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A8E3-427C-B873-AC5D106B61E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8E3-427C-B873-AC5D106B61E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A8E3-427C-B873-AC5D106B61E0}"/>
              </c:ext>
            </c:extLst>
          </c:dPt>
          <c:dLbls>
            <c:dLbl>
              <c:idx val="0"/>
              <c:layout>
                <c:manualLayout>
                  <c:x val="0.11944444444444445"/>
                  <c:y val="-6.944444444444444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8E3-427C-B873-AC5D106B61E0}"/>
                </c:ext>
              </c:extLst>
            </c:dLbl>
            <c:dLbl>
              <c:idx val="1"/>
              <c:layout>
                <c:manualLayout>
                  <c:x val="-3.0555555555555555E-2"/>
                  <c:y val="0.1226003490401396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8E3-427C-B873-AC5D106B61E0}"/>
                </c:ext>
              </c:extLst>
            </c:dLbl>
            <c:dLbl>
              <c:idx val="2"/>
              <c:layout>
                <c:manualLayout>
                  <c:x val="-0.14166666666666669"/>
                  <c:y val="2.777777777777777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8E3-427C-B873-AC5D106B61E0}"/>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PivotTable!$A$8:$A$11</c:f>
              <c:strCache>
                <c:ptCount val="3"/>
                <c:pt idx="0">
                  <c:v>Warehouse A</c:v>
                </c:pt>
                <c:pt idx="1">
                  <c:v>Warehouse B</c:v>
                </c:pt>
                <c:pt idx="2">
                  <c:v>Warehouse C</c:v>
                </c:pt>
              </c:strCache>
            </c:strRef>
          </c:cat>
          <c:val>
            <c:numRef>
              <c:f>PivotTable!$B$8:$B$11</c:f>
              <c:numCache>
                <c:formatCode>General</c:formatCode>
                <c:ptCount val="3"/>
                <c:pt idx="0">
                  <c:v>10178</c:v>
                </c:pt>
                <c:pt idx="1">
                  <c:v>5250</c:v>
                </c:pt>
                <c:pt idx="2">
                  <c:v>8974</c:v>
                </c:pt>
              </c:numCache>
            </c:numRef>
          </c:val>
          <c:extLst>
            <c:ext xmlns:c16="http://schemas.microsoft.com/office/drawing/2014/chart" uri="{C3380CC4-5D6E-409C-BE32-E72D297353CC}">
              <c16:uniqueId val="{00000000-A8E3-427C-B873-AC5D106B61E0}"/>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PivotTable!$B$30</c:f>
              <c:strCache>
                <c:ptCount val="1"/>
                <c:pt idx="0">
                  <c:v>Total</c:v>
                </c:pt>
              </c:strCache>
            </c:strRef>
          </c:tx>
          <c:spPr>
            <a:solidFill>
              <a:schemeClr val="accent1"/>
            </a:solidFill>
            <a:ln>
              <a:noFill/>
            </a:ln>
            <a:effectLst/>
          </c:spPr>
          <c:invertIfNegative val="0"/>
          <c:cat>
            <c:strRef>
              <c:f>PivotTable!$A$31:$A$34</c:f>
              <c:strCache>
                <c:ptCount val="3"/>
                <c:pt idx="0">
                  <c:v>Supplier X</c:v>
                </c:pt>
                <c:pt idx="1">
                  <c:v>Supplier Y</c:v>
                </c:pt>
                <c:pt idx="2">
                  <c:v>Supplier Z</c:v>
                </c:pt>
              </c:strCache>
            </c:strRef>
          </c:cat>
          <c:val>
            <c:numRef>
              <c:f>PivotTable!$B$31:$B$34</c:f>
              <c:numCache>
                <c:formatCode>General</c:formatCode>
                <c:ptCount val="3"/>
                <c:pt idx="0">
                  <c:v>9914</c:v>
                </c:pt>
                <c:pt idx="1">
                  <c:v>8738</c:v>
                </c:pt>
                <c:pt idx="2">
                  <c:v>5750</c:v>
                </c:pt>
              </c:numCache>
            </c:numRef>
          </c:val>
          <c:extLst>
            <c:ext xmlns:c16="http://schemas.microsoft.com/office/drawing/2014/chart" uri="{C3380CC4-5D6E-409C-BE32-E72D297353CC}">
              <c16:uniqueId val="{00000000-7A61-4FB5-9457-E25867F21A49}"/>
            </c:ext>
          </c:extLst>
        </c:ser>
        <c:dLbls>
          <c:showLegendKey val="0"/>
          <c:showVal val="0"/>
          <c:showCatName val="0"/>
          <c:showSerName val="0"/>
          <c:showPercent val="0"/>
          <c:showBubbleSize val="0"/>
        </c:dLbls>
        <c:gapWidth val="150"/>
        <c:overlap val="100"/>
        <c:axId val="1595818800"/>
        <c:axId val="1595812080"/>
      </c:barChart>
      <c:catAx>
        <c:axId val="159581880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812080"/>
        <c:crosses val="autoZero"/>
        <c:auto val="1"/>
        <c:lblAlgn val="ctr"/>
        <c:lblOffset val="100"/>
        <c:noMultiLvlLbl val="0"/>
      </c:catAx>
      <c:valAx>
        <c:axId val="1595812080"/>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818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PivotTable!$E$30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PivotTable!$D$31:$D$34</c:f>
              <c:strCache>
                <c:ptCount val="3"/>
                <c:pt idx="0">
                  <c:v>Supplier X</c:v>
                </c:pt>
                <c:pt idx="1">
                  <c:v>Supplier Y</c:v>
                </c:pt>
                <c:pt idx="2">
                  <c:v>Supplier Z</c:v>
                </c:pt>
              </c:strCache>
            </c:strRef>
          </c:cat>
          <c:val>
            <c:numRef>
              <c:f>PivotTable!$E$31:$E$34</c:f>
              <c:numCache>
                <c:formatCode>General</c:formatCode>
                <c:ptCount val="3"/>
                <c:pt idx="0">
                  <c:v>2514335.38</c:v>
                </c:pt>
                <c:pt idx="1">
                  <c:v>1892106.69</c:v>
                </c:pt>
                <c:pt idx="2">
                  <c:v>1537455.0599999996</c:v>
                </c:pt>
              </c:numCache>
            </c:numRef>
          </c:val>
          <c:extLst>
            <c:ext xmlns:c16="http://schemas.microsoft.com/office/drawing/2014/chart" uri="{C3380CC4-5D6E-409C-BE32-E72D297353CC}">
              <c16:uniqueId val="{00000000-D8F0-4FBE-95C9-4367A2CCA954}"/>
            </c:ext>
          </c:extLst>
        </c:ser>
        <c:dLbls>
          <c:dLblPos val="outEnd"/>
          <c:showLegendKey val="0"/>
          <c:showVal val="1"/>
          <c:showCatName val="0"/>
          <c:showSerName val="0"/>
          <c:showPercent val="0"/>
          <c:showBubbleSize val="0"/>
        </c:dLbls>
        <c:gapWidth val="182"/>
        <c:axId val="505306160"/>
        <c:axId val="505319120"/>
      </c:barChart>
      <c:catAx>
        <c:axId val="50530616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19120"/>
        <c:crosses val="autoZero"/>
        <c:auto val="1"/>
        <c:lblAlgn val="ctr"/>
        <c:lblOffset val="100"/>
        <c:noMultiLvlLbl val="0"/>
      </c:catAx>
      <c:valAx>
        <c:axId val="505319120"/>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30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PivotTable!$H$30:$H$31</c:f>
              <c:strCache>
                <c:ptCount val="1"/>
                <c:pt idx="0">
                  <c:v>Below Reorder</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PivotTable!$G$32:$G$35</c:f>
              <c:strCache>
                <c:ptCount val="3"/>
                <c:pt idx="0">
                  <c:v>Supplier X</c:v>
                </c:pt>
                <c:pt idx="1">
                  <c:v>Supplier Y</c:v>
                </c:pt>
                <c:pt idx="2">
                  <c:v>Supplier Z</c:v>
                </c:pt>
              </c:strCache>
            </c:strRef>
          </c:cat>
          <c:val>
            <c:numRef>
              <c:f>PivotTable!$H$32:$H$35</c:f>
              <c:numCache>
                <c:formatCode>General</c:formatCode>
                <c:ptCount val="3"/>
                <c:pt idx="0">
                  <c:v>858</c:v>
                </c:pt>
                <c:pt idx="1">
                  <c:v>1024</c:v>
                </c:pt>
                <c:pt idx="2">
                  <c:v>689</c:v>
                </c:pt>
              </c:numCache>
            </c:numRef>
          </c:val>
          <c:smooth val="0"/>
          <c:extLst>
            <c:ext xmlns:c16="http://schemas.microsoft.com/office/drawing/2014/chart" uri="{C3380CC4-5D6E-409C-BE32-E72D297353CC}">
              <c16:uniqueId val="{00000000-AFCD-4FE0-9909-F9FD65C653E2}"/>
            </c:ext>
          </c:extLst>
        </c:ser>
        <c:ser>
          <c:idx val="1"/>
          <c:order val="1"/>
          <c:tx>
            <c:strRef>
              <c:f>PivotTable!$I$30:$I$31</c:f>
              <c:strCache>
                <c:ptCount val="1"/>
                <c:pt idx="0">
                  <c:v>Sufficient</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PivotTable!$G$32:$G$35</c:f>
              <c:strCache>
                <c:ptCount val="3"/>
                <c:pt idx="0">
                  <c:v>Supplier X</c:v>
                </c:pt>
                <c:pt idx="1">
                  <c:v>Supplier Y</c:v>
                </c:pt>
                <c:pt idx="2">
                  <c:v>Supplier Z</c:v>
                </c:pt>
              </c:strCache>
            </c:strRef>
          </c:cat>
          <c:val>
            <c:numRef>
              <c:f>PivotTable!$I$32:$I$35</c:f>
              <c:numCache>
                <c:formatCode>General</c:formatCode>
                <c:ptCount val="3"/>
                <c:pt idx="0">
                  <c:v>9056</c:v>
                </c:pt>
                <c:pt idx="1">
                  <c:v>7714</c:v>
                </c:pt>
                <c:pt idx="2">
                  <c:v>5061</c:v>
                </c:pt>
              </c:numCache>
            </c:numRef>
          </c:val>
          <c:smooth val="0"/>
          <c:extLst>
            <c:ext xmlns:c16="http://schemas.microsoft.com/office/drawing/2014/chart" uri="{C3380CC4-5D6E-409C-BE32-E72D297353CC}">
              <c16:uniqueId val="{00000003-E0D7-4DDC-916F-68B99D40C0EC}"/>
            </c:ext>
          </c:extLst>
        </c:ser>
        <c:dLbls>
          <c:dLblPos val="t"/>
          <c:showLegendKey val="0"/>
          <c:showVal val="1"/>
          <c:showCatName val="0"/>
          <c:showSerName val="0"/>
          <c:showPercent val="0"/>
          <c:showBubbleSize val="0"/>
        </c:dLbls>
        <c:smooth val="0"/>
        <c:axId val="505281680"/>
        <c:axId val="505283120"/>
      </c:lineChart>
      <c:catAx>
        <c:axId val="505281680"/>
        <c:scaling>
          <c:orientation val="minMax"/>
        </c:scaling>
        <c:delete val="0"/>
        <c:axPos val="b"/>
        <c:title>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83120"/>
        <c:crosses val="autoZero"/>
        <c:auto val="1"/>
        <c:lblAlgn val="ctr"/>
        <c:lblOffset val="100"/>
        <c:noMultiLvlLbl val="0"/>
      </c:catAx>
      <c:valAx>
        <c:axId val="505283120"/>
        <c:scaling>
          <c:orientation val="minMax"/>
        </c:scaling>
        <c:delete val="0"/>
        <c:axPos val="l"/>
        <c:majorGridlines>
          <c:spPr>
            <a:ln w="9525" cap="flat" cmpd="sng" algn="ctr">
              <a:solidFill>
                <a:schemeClr val="tx1">
                  <a:lumMod val="15000"/>
                  <a:lumOff val="85000"/>
                </a:schemeClr>
              </a:solidFill>
              <a:round/>
            </a:ln>
            <a:effectLst/>
          </c:spPr>
        </c:majorGridlines>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81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Stock Quantity by Category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PivotTable!$K$30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PivotTable!$J$31:$J$34</c:f>
              <c:strCache>
                <c:ptCount val="3"/>
                <c:pt idx="0">
                  <c:v>Category A</c:v>
                </c:pt>
                <c:pt idx="1">
                  <c:v>Category B</c:v>
                </c:pt>
                <c:pt idx="2">
                  <c:v>Category C</c:v>
                </c:pt>
              </c:strCache>
            </c:strRef>
          </c:cat>
          <c:val>
            <c:numRef>
              <c:f>PivotTable!$K$31:$K$34</c:f>
              <c:numCache>
                <c:formatCode>General</c:formatCode>
                <c:ptCount val="3"/>
                <c:pt idx="0">
                  <c:v>7868</c:v>
                </c:pt>
                <c:pt idx="1">
                  <c:v>9048</c:v>
                </c:pt>
                <c:pt idx="2">
                  <c:v>7486</c:v>
                </c:pt>
              </c:numCache>
            </c:numRef>
          </c:val>
          <c:extLst>
            <c:ext xmlns:c16="http://schemas.microsoft.com/office/drawing/2014/chart" uri="{C3380CC4-5D6E-409C-BE32-E72D297353CC}">
              <c16:uniqueId val="{00000000-C516-4318-8B8B-740014F4E075}"/>
            </c:ext>
          </c:extLst>
        </c:ser>
        <c:dLbls>
          <c:dLblPos val="outEnd"/>
          <c:showLegendKey val="0"/>
          <c:showVal val="1"/>
          <c:showCatName val="0"/>
          <c:showSerName val="0"/>
          <c:showPercent val="0"/>
          <c:showBubbleSize val="0"/>
        </c:dLbls>
        <c:gapWidth val="219"/>
        <c:overlap val="-27"/>
        <c:axId val="1422009632"/>
        <c:axId val="1422012512"/>
      </c:barChart>
      <c:catAx>
        <c:axId val="142200963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Categorys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012512"/>
        <c:crosses val="autoZero"/>
        <c:auto val="1"/>
        <c:lblAlgn val="ctr"/>
        <c:lblOffset val="100"/>
        <c:noMultiLvlLbl val="0"/>
      </c:catAx>
      <c:valAx>
        <c:axId val="1422012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Stock 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009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PivotTable!$N$30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PivotTable!$M$31:$M$34</c:f>
              <c:strCache>
                <c:ptCount val="3"/>
                <c:pt idx="0">
                  <c:v>Category A</c:v>
                </c:pt>
                <c:pt idx="1">
                  <c:v>Category B</c:v>
                </c:pt>
                <c:pt idx="2">
                  <c:v>Category C</c:v>
                </c:pt>
              </c:strCache>
            </c:strRef>
          </c:cat>
          <c:val>
            <c:numRef>
              <c:f>PivotTable!$N$31:$N$34</c:f>
              <c:numCache>
                <c:formatCode>General</c:formatCode>
                <c:ptCount val="3"/>
                <c:pt idx="0">
                  <c:v>1967566.4199999995</c:v>
                </c:pt>
                <c:pt idx="1">
                  <c:v>2307882.8099999996</c:v>
                </c:pt>
                <c:pt idx="2">
                  <c:v>1668447.8999999997</c:v>
                </c:pt>
              </c:numCache>
            </c:numRef>
          </c:val>
          <c:extLst>
            <c:ext xmlns:c16="http://schemas.microsoft.com/office/drawing/2014/chart" uri="{C3380CC4-5D6E-409C-BE32-E72D297353CC}">
              <c16:uniqueId val="{00000000-BDCD-4CE9-A3D0-56F9D75C651A}"/>
            </c:ext>
          </c:extLst>
        </c:ser>
        <c:dLbls>
          <c:dLblPos val="outEnd"/>
          <c:showLegendKey val="0"/>
          <c:showVal val="1"/>
          <c:showCatName val="0"/>
          <c:showSerName val="0"/>
          <c:showPercent val="0"/>
          <c:showBubbleSize val="0"/>
        </c:dLbls>
        <c:gapWidth val="219"/>
        <c:overlap val="-27"/>
        <c:axId val="1422000512"/>
        <c:axId val="1422028832"/>
      </c:barChart>
      <c:catAx>
        <c:axId val="142200051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Categorys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028832"/>
        <c:crosses val="autoZero"/>
        <c:auto val="1"/>
        <c:lblAlgn val="ctr"/>
        <c:lblOffset val="100"/>
        <c:noMultiLvlLbl val="0"/>
      </c:catAx>
      <c:valAx>
        <c:axId val="1422028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Stock</a:t>
                </a:r>
                <a:r>
                  <a:rPr lang="en-IN" baseline="0"/>
                  <a:t> Value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000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2.5000000000000001E-2"/>
              <c:y val="-0.1990740740740740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dLbl>
          <c:idx val="0"/>
          <c:layout>
            <c:manualLayout>
              <c:x val="5.5555555555555558E-3"/>
              <c:y val="-0.2916666666666666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dLbl>
          <c:idx val="0"/>
          <c:layout>
            <c:manualLayout>
              <c:x val="5.8333333333333334E-2"/>
              <c:y val="-0.236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areaChart>
        <c:grouping val="standard"/>
        <c:varyColors val="0"/>
        <c:ser>
          <c:idx val="0"/>
          <c:order val="0"/>
          <c:tx>
            <c:strRef>
              <c:f>PivotTable!$Q$30</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4-C4D8-4AFB-82E3-7A7FAC70B376}"/>
              </c:ext>
            </c:extLst>
          </c:dPt>
          <c:dPt>
            <c:idx val="1"/>
            <c:bubble3D val="0"/>
            <c:extLst>
              <c:ext xmlns:c16="http://schemas.microsoft.com/office/drawing/2014/chart" uri="{C3380CC4-5D6E-409C-BE32-E72D297353CC}">
                <c16:uniqueId val="{00000003-C4D8-4AFB-82E3-7A7FAC70B376}"/>
              </c:ext>
            </c:extLst>
          </c:dPt>
          <c:dPt>
            <c:idx val="2"/>
            <c:bubble3D val="0"/>
            <c:extLst>
              <c:ext xmlns:c16="http://schemas.microsoft.com/office/drawing/2014/chart" uri="{C3380CC4-5D6E-409C-BE32-E72D297353CC}">
                <c16:uniqueId val="{00000002-C4D8-4AFB-82E3-7A7FAC70B376}"/>
              </c:ext>
            </c:extLst>
          </c:dPt>
          <c:dLbls>
            <c:dLbl>
              <c:idx val="0"/>
              <c:layout>
                <c:manualLayout>
                  <c:x val="5.8333333333333334E-2"/>
                  <c:y val="-0.2361111111111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4D8-4AFB-82E3-7A7FAC70B376}"/>
                </c:ext>
              </c:extLst>
            </c:dLbl>
            <c:dLbl>
              <c:idx val="1"/>
              <c:layout>
                <c:manualLayout>
                  <c:x val="5.5555555555555558E-3"/>
                  <c:y val="-0.291666666666666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4D8-4AFB-82E3-7A7FAC70B376}"/>
                </c:ext>
              </c:extLst>
            </c:dLbl>
            <c:dLbl>
              <c:idx val="2"/>
              <c:layout>
                <c:manualLayout>
                  <c:x val="-2.5000000000000001E-2"/>
                  <c:y val="-0.199074074074074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4D8-4AFB-82E3-7A7FAC70B376}"/>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PivotTable!$P$31:$P$34</c:f>
              <c:strCache>
                <c:ptCount val="3"/>
                <c:pt idx="0">
                  <c:v>Category A</c:v>
                </c:pt>
                <c:pt idx="1">
                  <c:v>Category B</c:v>
                </c:pt>
                <c:pt idx="2">
                  <c:v>Category C</c:v>
                </c:pt>
              </c:strCache>
            </c:strRef>
          </c:cat>
          <c:val>
            <c:numRef>
              <c:f>PivotTable!$Q$31:$Q$34</c:f>
              <c:numCache>
                <c:formatCode>General</c:formatCode>
                <c:ptCount val="3"/>
                <c:pt idx="0">
                  <c:v>59623.224848484831</c:v>
                </c:pt>
                <c:pt idx="1">
                  <c:v>64107.85583333332</c:v>
                </c:pt>
                <c:pt idx="2">
                  <c:v>53820.899999999987</c:v>
                </c:pt>
              </c:numCache>
            </c:numRef>
          </c:val>
          <c:extLst>
            <c:ext xmlns:c16="http://schemas.microsoft.com/office/drawing/2014/chart" uri="{C3380CC4-5D6E-409C-BE32-E72D297353CC}">
              <c16:uniqueId val="{00000000-C4D8-4AFB-82E3-7A7FAC70B376}"/>
            </c:ext>
          </c:extLst>
        </c:ser>
        <c:dLbls>
          <c:showLegendKey val="0"/>
          <c:showVal val="0"/>
          <c:showCatName val="0"/>
          <c:showSerName val="0"/>
          <c:showPercent val="0"/>
          <c:showBubbleSize val="0"/>
        </c:dLbls>
        <c:axId val="1041807024"/>
        <c:axId val="1041807504"/>
      </c:areaChart>
      <c:catAx>
        <c:axId val="1041807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Categorys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807504"/>
        <c:crosses val="autoZero"/>
        <c:auto val="1"/>
        <c:lblAlgn val="ctr"/>
        <c:lblOffset val="100"/>
        <c:noMultiLvlLbl val="0"/>
      </c:catAx>
      <c:valAx>
        <c:axId val="1041807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Avg.Stock</a:t>
                </a:r>
                <a:r>
                  <a:rPr lang="en-IN" baseline="0"/>
                  <a:t> Value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80702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Copy.xlsm]PivotTable!PivotTable17</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PivotTable!$B$57</c:f>
              <c:strCache>
                <c:ptCount val="1"/>
                <c:pt idx="0">
                  <c:v>Total</c:v>
                </c:pt>
              </c:strCache>
            </c:strRef>
          </c:tx>
          <c:spPr>
            <a:solidFill>
              <a:schemeClr val="accent1"/>
            </a:solidFill>
            <a:ln>
              <a:noFill/>
            </a:ln>
            <a:effectLst/>
          </c:spPr>
          <c:invertIfNegative val="0"/>
          <c:cat>
            <c:strRef>
              <c:f>PivotTable!$A$58:$A$108</c:f>
              <c:strCache>
                <c:ptCount val="50"/>
                <c:pt idx="0">
                  <c:v>Electronics Item 61</c:v>
                </c:pt>
                <c:pt idx="1">
                  <c:v>Electronics Item 19</c:v>
                </c:pt>
                <c:pt idx="2">
                  <c:v>Electronics Item 4</c:v>
                </c:pt>
                <c:pt idx="3">
                  <c:v>Electronics Item 57</c:v>
                </c:pt>
                <c:pt idx="4">
                  <c:v>Electronics Item 84</c:v>
                </c:pt>
                <c:pt idx="5">
                  <c:v>Electronics Item 91</c:v>
                </c:pt>
                <c:pt idx="6">
                  <c:v>Electronics Item 65</c:v>
                </c:pt>
                <c:pt idx="7">
                  <c:v>Electronics Item 86</c:v>
                </c:pt>
                <c:pt idx="8">
                  <c:v>Electronics Item 11</c:v>
                </c:pt>
                <c:pt idx="9">
                  <c:v>Electronics Item 67</c:v>
                </c:pt>
                <c:pt idx="10">
                  <c:v>Electronics Item 18</c:v>
                </c:pt>
                <c:pt idx="11">
                  <c:v>Electronics Item 20</c:v>
                </c:pt>
                <c:pt idx="12">
                  <c:v>Electronics Item 22</c:v>
                </c:pt>
                <c:pt idx="13">
                  <c:v>Electronics Item 83</c:v>
                </c:pt>
                <c:pt idx="14">
                  <c:v>Electronics Item 2</c:v>
                </c:pt>
                <c:pt idx="15">
                  <c:v>Electronics Item 38</c:v>
                </c:pt>
                <c:pt idx="16">
                  <c:v>Electronics Item 81</c:v>
                </c:pt>
                <c:pt idx="17">
                  <c:v>Electronics Item 9</c:v>
                </c:pt>
                <c:pt idx="18">
                  <c:v>Electronics Item 80</c:v>
                </c:pt>
                <c:pt idx="19">
                  <c:v>Electronics Item 1</c:v>
                </c:pt>
                <c:pt idx="20">
                  <c:v>Electronics Item 33</c:v>
                </c:pt>
                <c:pt idx="21">
                  <c:v>Electronics Item 43</c:v>
                </c:pt>
                <c:pt idx="22">
                  <c:v>Electronics Item 29</c:v>
                </c:pt>
                <c:pt idx="23">
                  <c:v>Electronics Item 90</c:v>
                </c:pt>
                <c:pt idx="24">
                  <c:v>Electronics Item 100</c:v>
                </c:pt>
                <c:pt idx="25">
                  <c:v>Electronics Item 54</c:v>
                </c:pt>
                <c:pt idx="26">
                  <c:v>Electronics Item 69</c:v>
                </c:pt>
                <c:pt idx="27">
                  <c:v>Electronics Item 27</c:v>
                </c:pt>
                <c:pt idx="28">
                  <c:v>Electronics Item 58</c:v>
                </c:pt>
                <c:pt idx="29">
                  <c:v>Electronics Item 16</c:v>
                </c:pt>
                <c:pt idx="30">
                  <c:v>Electronics Item 30</c:v>
                </c:pt>
                <c:pt idx="31">
                  <c:v>Electronics Item 24</c:v>
                </c:pt>
                <c:pt idx="32">
                  <c:v>Electronics Item 77</c:v>
                </c:pt>
                <c:pt idx="33">
                  <c:v>Electronics Item 17</c:v>
                </c:pt>
                <c:pt idx="34">
                  <c:v>Electronics Item 5</c:v>
                </c:pt>
                <c:pt idx="35">
                  <c:v>Electronics Item 40</c:v>
                </c:pt>
                <c:pt idx="36">
                  <c:v>Electronics Item 71</c:v>
                </c:pt>
                <c:pt idx="37">
                  <c:v>Electronics Item 96</c:v>
                </c:pt>
                <c:pt idx="38">
                  <c:v>Electronics Item 63</c:v>
                </c:pt>
                <c:pt idx="39">
                  <c:v>Electronics Item 41</c:v>
                </c:pt>
                <c:pt idx="40">
                  <c:v>Electronics Item 34</c:v>
                </c:pt>
                <c:pt idx="41">
                  <c:v>Electronics Item 89</c:v>
                </c:pt>
                <c:pt idx="42">
                  <c:v>Electronics Item 48</c:v>
                </c:pt>
                <c:pt idx="43">
                  <c:v>Electronics Item 75</c:v>
                </c:pt>
                <c:pt idx="44">
                  <c:v>Electronics Item 28</c:v>
                </c:pt>
                <c:pt idx="45">
                  <c:v>Electronics Item 50</c:v>
                </c:pt>
                <c:pt idx="46">
                  <c:v>Electronics Item 47</c:v>
                </c:pt>
                <c:pt idx="47">
                  <c:v>Electronics Item 78</c:v>
                </c:pt>
                <c:pt idx="48">
                  <c:v>Electronics Item 51</c:v>
                </c:pt>
                <c:pt idx="49">
                  <c:v>Electronics Item 99</c:v>
                </c:pt>
              </c:strCache>
            </c:strRef>
          </c:cat>
          <c:val>
            <c:numRef>
              <c:f>PivotTable!$B$58:$B$108</c:f>
              <c:numCache>
                <c:formatCode>General</c:formatCode>
                <c:ptCount val="50"/>
                <c:pt idx="0">
                  <c:v>148</c:v>
                </c:pt>
                <c:pt idx="1">
                  <c:v>150</c:v>
                </c:pt>
                <c:pt idx="2">
                  <c:v>152</c:v>
                </c:pt>
                <c:pt idx="3">
                  <c:v>153</c:v>
                </c:pt>
                <c:pt idx="4">
                  <c:v>153</c:v>
                </c:pt>
                <c:pt idx="5">
                  <c:v>159</c:v>
                </c:pt>
                <c:pt idx="6">
                  <c:v>161</c:v>
                </c:pt>
                <c:pt idx="7">
                  <c:v>161</c:v>
                </c:pt>
                <c:pt idx="8">
                  <c:v>162</c:v>
                </c:pt>
                <c:pt idx="9">
                  <c:v>162</c:v>
                </c:pt>
                <c:pt idx="10">
                  <c:v>162</c:v>
                </c:pt>
                <c:pt idx="11">
                  <c:v>162</c:v>
                </c:pt>
                <c:pt idx="12">
                  <c:v>162</c:v>
                </c:pt>
                <c:pt idx="13">
                  <c:v>162</c:v>
                </c:pt>
                <c:pt idx="14">
                  <c:v>165</c:v>
                </c:pt>
                <c:pt idx="15">
                  <c:v>165</c:v>
                </c:pt>
                <c:pt idx="16">
                  <c:v>165</c:v>
                </c:pt>
                <c:pt idx="17">
                  <c:v>167</c:v>
                </c:pt>
                <c:pt idx="18">
                  <c:v>169</c:v>
                </c:pt>
                <c:pt idx="19">
                  <c:v>170</c:v>
                </c:pt>
                <c:pt idx="20">
                  <c:v>172</c:v>
                </c:pt>
                <c:pt idx="21">
                  <c:v>173</c:v>
                </c:pt>
                <c:pt idx="22">
                  <c:v>175</c:v>
                </c:pt>
                <c:pt idx="23">
                  <c:v>177</c:v>
                </c:pt>
                <c:pt idx="24">
                  <c:v>177</c:v>
                </c:pt>
                <c:pt idx="25">
                  <c:v>177</c:v>
                </c:pt>
                <c:pt idx="26">
                  <c:v>178</c:v>
                </c:pt>
                <c:pt idx="27">
                  <c:v>178</c:v>
                </c:pt>
                <c:pt idx="28">
                  <c:v>178</c:v>
                </c:pt>
                <c:pt idx="29">
                  <c:v>179</c:v>
                </c:pt>
                <c:pt idx="30">
                  <c:v>179</c:v>
                </c:pt>
                <c:pt idx="31">
                  <c:v>179</c:v>
                </c:pt>
                <c:pt idx="32">
                  <c:v>180</c:v>
                </c:pt>
                <c:pt idx="33">
                  <c:v>180</c:v>
                </c:pt>
                <c:pt idx="34">
                  <c:v>186</c:v>
                </c:pt>
                <c:pt idx="35">
                  <c:v>188</c:v>
                </c:pt>
                <c:pt idx="36">
                  <c:v>189</c:v>
                </c:pt>
                <c:pt idx="37">
                  <c:v>191</c:v>
                </c:pt>
                <c:pt idx="38">
                  <c:v>193</c:v>
                </c:pt>
                <c:pt idx="39">
                  <c:v>193</c:v>
                </c:pt>
                <c:pt idx="40">
                  <c:v>194</c:v>
                </c:pt>
                <c:pt idx="41">
                  <c:v>195</c:v>
                </c:pt>
                <c:pt idx="42">
                  <c:v>196</c:v>
                </c:pt>
                <c:pt idx="43">
                  <c:v>196</c:v>
                </c:pt>
                <c:pt idx="44">
                  <c:v>196</c:v>
                </c:pt>
                <c:pt idx="45">
                  <c:v>196</c:v>
                </c:pt>
                <c:pt idx="46">
                  <c:v>197</c:v>
                </c:pt>
                <c:pt idx="47">
                  <c:v>197</c:v>
                </c:pt>
                <c:pt idx="48">
                  <c:v>197</c:v>
                </c:pt>
                <c:pt idx="49">
                  <c:v>197</c:v>
                </c:pt>
              </c:numCache>
            </c:numRef>
          </c:val>
          <c:extLst>
            <c:ext xmlns:c16="http://schemas.microsoft.com/office/drawing/2014/chart" uri="{C3380CC4-5D6E-409C-BE32-E72D297353CC}">
              <c16:uniqueId val="{00000000-AA5D-4445-8D71-7ADC72BA0B77}"/>
            </c:ext>
          </c:extLst>
        </c:ser>
        <c:dLbls>
          <c:showLegendKey val="0"/>
          <c:showVal val="0"/>
          <c:showCatName val="0"/>
          <c:showSerName val="0"/>
          <c:showPercent val="0"/>
          <c:showBubbleSize val="0"/>
        </c:dLbls>
        <c:gapWidth val="219"/>
        <c:overlap val="-27"/>
        <c:axId val="1422054752"/>
        <c:axId val="1422055712"/>
      </c:barChart>
      <c:catAx>
        <c:axId val="1422054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055712"/>
        <c:crosses val="autoZero"/>
        <c:auto val="1"/>
        <c:lblAlgn val="ctr"/>
        <c:lblOffset val="100"/>
        <c:noMultiLvlLbl val="0"/>
      </c:catAx>
      <c:valAx>
        <c:axId val="1422055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0547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PivotTable!$E$57</c:f>
              <c:strCache>
                <c:ptCount val="1"/>
                <c:pt idx="0">
                  <c:v>Total</c:v>
                </c:pt>
              </c:strCache>
            </c:strRef>
          </c:tx>
          <c:spPr>
            <a:solidFill>
              <a:schemeClr val="accent1"/>
            </a:solidFill>
            <a:ln>
              <a:noFill/>
            </a:ln>
            <a:effectLst/>
          </c:spPr>
          <c:invertIfNegative val="0"/>
          <c:cat>
            <c:strRef>
              <c:f>PivotTable!$D$58:$D$108</c:f>
              <c:strCache>
                <c:ptCount val="50"/>
                <c:pt idx="0">
                  <c:v>Electronics Item 56</c:v>
                </c:pt>
                <c:pt idx="1">
                  <c:v>Electronics Item 13</c:v>
                </c:pt>
                <c:pt idx="2">
                  <c:v>Electronics Item 64</c:v>
                </c:pt>
                <c:pt idx="3">
                  <c:v>Electronics Item 65</c:v>
                </c:pt>
                <c:pt idx="4">
                  <c:v>Electronics Item 57</c:v>
                </c:pt>
                <c:pt idx="5">
                  <c:v>Electronics Item 74</c:v>
                </c:pt>
                <c:pt idx="6">
                  <c:v>Electronics Item 42</c:v>
                </c:pt>
                <c:pt idx="7">
                  <c:v>Electronics Item 39</c:v>
                </c:pt>
                <c:pt idx="8">
                  <c:v>Electronics Item 11</c:v>
                </c:pt>
                <c:pt idx="9">
                  <c:v>Electronics Item 19</c:v>
                </c:pt>
                <c:pt idx="10">
                  <c:v>Electronics Item 45</c:v>
                </c:pt>
                <c:pt idx="11">
                  <c:v>Electronics Item 99</c:v>
                </c:pt>
                <c:pt idx="12">
                  <c:v>Electronics Item 76</c:v>
                </c:pt>
                <c:pt idx="13">
                  <c:v>Electronics Item 83</c:v>
                </c:pt>
                <c:pt idx="14">
                  <c:v>Electronics Item 88</c:v>
                </c:pt>
                <c:pt idx="15">
                  <c:v>Electronics Item 9</c:v>
                </c:pt>
                <c:pt idx="16">
                  <c:v>Electronics Item 26</c:v>
                </c:pt>
                <c:pt idx="17">
                  <c:v>Electronics Item 72</c:v>
                </c:pt>
                <c:pt idx="18">
                  <c:v>Electronics Item 18</c:v>
                </c:pt>
                <c:pt idx="19">
                  <c:v>Electronics Item 90</c:v>
                </c:pt>
                <c:pt idx="20">
                  <c:v>Electronics Item 87</c:v>
                </c:pt>
                <c:pt idx="21">
                  <c:v>Electronics Item 49</c:v>
                </c:pt>
                <c:pt idx="22">
                  <c:v>Electronics Item 92</c:v>
                </c:pt>
                <c:pt idx="23">
                  <c:v>Electronics Item 55</c:v>
                </c:pt>
                <c:pt idx="24">
                  <c:v>Electronics Item 44</c:v>
                </c:pt>
                <c:pt idx="25">
                  <c:v>Electronics Item 29</c:v>
                </c:pt>
                <c:pt idx="26">
                  <c:v>Electronics Item 98</c:v>
                </c:pt>
                <c:pt idx="27">
                  <c:v>Electronics Item 10</c:v>
                </c:pt>
                <c:pt idx="28">
                  <c:v>Electronics Item 51</c:v>
                </c:pt>
                <c:pt idx="29">
                  <c:v>Electronics Item 97</c:v>
                </c:pt>
                <c:pt idx="30">
                  <c:v>Electronics Item 60</c:v>
                </c:pt>
                <c:pt idx="31">
                  <c:v>Electronics Item 6</c:v>
                </c:pt>
                <c:pt idx="32">
                  <c:v>Electronics Item 46</c:v>
                </c:pt>
                <c:pt idx="33">
                  <c:v>Electronics Item 43</c:v>
                </c:pt>
                <c:pt idx="34">
                  <c:v>Electronics Item 63</c:v>
                </c:pt>
                <c:pt idx="35">
                  <c:v>Electronics Item 23</c:v>
                </c:pt>
                <c:pt idx="36">
                  <c:v>Electronics Item 20</c:v>
                </c:pt>
                <c:pt idx="37">
                  <c:v>Electronics Item 8</c:v>
                </c:pt>
                <c:pt idx="38">
                  <c:v>Electronics Item 36</c:v>
                </c:pt>
                <c:pt idx="39">
                  <c:v>Electronics Item 81</c:v>
                </c:pt>
                <c:pt idx="40">
                  <c:v>Electronics Item 100</c:v>
                </c:pt>
                <c:pt idx="41">
                  <c:v>Electronics Item 89</c:v>
                </c:pt>
                <c:pt idx="42">
                  <c:v>Electronics Item 33</c:v>
                </c:pt>
                <c:pt idx="43">
                  <c:v>Electronics Item 52</c:v>
                </c:pt>
                <c:pt idx="44">
                  <c:v>Electronics Item 37</c:v>
                </c:pt>
                <c:pt idx="45">
                  <c:v>Electronics Item 2</c:v>
                </c:pt>
                <c:pt idx="46">
                  <c:v>Electronics Item 93</c:v>
                </c:pt>
                <c:pt idx="47">
                  <c:v>Electronics Item 31</c:v>
                </c:pt>
                <c:pt idx="48">
                  <c:v>Electronics Item 62</c:v>
                </c:pt>
                <c:pt idx="49">
                  <c:v>Electronics Item 12</c:v>
                </c:pt>
              </c:strCache>
            </c:strRef>
          </c:cat>
          <c:val>
            <c:numRef>
              <c:f>PivotTable!$E$58:$E$108</c:f>
              <c:numCache>
                <c:formatCode>General</c:formatCode>
                <c:ptCount val="50"/>
                <c:pt idx="0">
                  <c:v>240</c:v>
                </c:pt>
                <c:pt idx="1">
                  <c:v>240</c:v>
                </c:pt>
                <c:pt idx="2">
                  <c:v>240</c:v>
                </c:pt>
                <c:pt idx="3">
                  <c:v>246</c:v>
                </c:pt>
                <c:pt idx="4">
                  <c:v>250</c:v>
                </c:pt>
                <c:pt idx="5">
                  <c:v>252</c:v>
                </c:pt>
                <c:pt idx="6">
                  <c:v>264</c:v>
                </c:pt>
                <c:pt idx="7">
                  <c:v>266</c:v>
                </c:pt>
                <c:pt idx="8">
                  <c:v>270</c:v>
                </c:pt>
                <c:pt idx="9">
                  <c:v>277</c:v>
                </c:pt>
                <c:pt idx="10">
                  <c:v>292</c:v>
                </c:pt>
                <c:pt idx="11">
                  <c:v>292</c:v>
                </c:pt>
                <c:pt idx="12">
                  <c:v>293</c:v>
                </c:pt>
                <c:pt idx="13">
                  <c:v>293</c:v>
                </c:pt>
                <c:pt idx="14">
                  <c:v>295</c:v>
                </c:pt>
                <c:pt idx="15">
                  <c:v>298</c:v>
                </c:pt>
                <c:pt idx="16">
                  <c:v>302</c:v>
                </c:pt>
                <c:pt idx="17">
                  <c:v>336</c:v>
                </c:pt>
                <c:pt idx="18">
                  <c:v>337</c:v>
                </c:pt>
                <c:pt idx="19">
                  <c:v>340</c:v>
                </c:pt>
                <c:pt idx="20">
                  <c:v>349</c:v>
                </c:pt>
                <c:pt idx="21">
                  <c:v>355</c:v>
                </c:pt>
                <c:pt idx="22">
                  <c:v>357</c:v>
                </c:pt>
                <c:pt idx="23">
                  <c:v>361</c:v>
                </c:pt>
                <c:pt idx="24">
                  <c:v>368</c:v>
                </c:pt>
                <c:pt idx="25">
                  <c:v>369</c:v>
                </c:pt>
                <c:pt idx="26">
                  <c:v>386</c:v>
                </c:pt>
                <c:pt idx="27">
                  <c:v>388</c:v>
                </c:pt>
                <c:pt idx="28">
                  <c:v>389</c:v>
                </c:pt>
                <c:pt idx="29">
                  <c:v>394</c:v>
                </c:pt>
                <c:pt idx="30">
                  <c:v>397</c:v>
                </c:pt>
                <c:pt idx="31">
                  <c:v>401</c:v>
                </c:pt>
                <c:pt idx="32">
                  <c:v>402</c:v>
                </c:pt>
                <c:pt idx="33">
                  <c:v>407</c:v>
                </c:pt>
                <c:pt idx="34">
                  <c:v>416</c:v>
                </c:pt>
                <c:pt idx="35">
                  <c:v>416</c:v>
                </c:pt>
                <c:pt idx="36">
                  <c:v>427</c:v>
                </c:pt>
                <c:pt idx="37">
                  <c:v>428</c:v>
                </c:pt>
                <c:pt idx="38">
                  <c:v>440</c:v>
                </c:pt>
                <c:pt idx="39">
                  <c:v>450</c:v>
                </c:pt>
                <c:pt idx="40">
                  <c:v>455</c:v>
                </c:pt>
                <c:pt idx="41">
                  <c:v>455</c:v>
                </c:pt>
                <c:pt idx="42">
                  <c:v>458</c:v>
                </c:pt>
                <c:pt idx="43">
                  <c:v>470</c:v>
                </c:pt>
                <c:pt idx="44">
                  <c:v>471</c:v>
                </c:pt>
                <c:pt idx="45">
                  <c:v>481</c:v>
                </c:pt>
                <c:pt idx="46">
                  <c:v>482</c:v>
                </c:pt>
                <c:pt idx="47">
                  <c:v>484</c:v>
                </c:pt>
                <c:pt idx="48">
                  <c:v>494</c:v>
                </c:pt>
                <c:pt idx="49">
                  <c:v>499</c:v>
                </c:pt>
              </c:numCache>
            </c:numRef>
          </c:val>
          <c:extLst>
            <c:ext xmlns:c16="http://schemas.microsoft.com/office/drawing/2014/chart" uri="{C3380CC4-5D6E-409C-BE32-E72D297353CC}">
              <c16:uniqueId val="{00000000-3B60-4004-B9FD-3988A1507459}"/>
            </c:ext>
          </c:extLst>
        </c:ser>
        <c:dLbls>
          <c:showLegendKey val="0"/>
          <c:showVal val="0"/>
          <c:showCatName val="0"/>
          <c:showSerName val="0"/>
          <c:showPercent val="0"/>
          <c:showBubbleSize val="0"/>
        </c:dLbls>
        <c:gapWidth val="219"/>
        <c:overlap val="-27"/>
        <c:axId val="1422120992"/>
        <c:axId val="1422121472"/>
      </c:barChart>
      <c:catAx>
        <c:axId val="1422120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121472"/>
        <c:crosses val="autoZero"/>
        <c:auto val="1"/>
        <c:lblAlgn val="ctr"/>
        <c:lblOffset val="100"/>
        <c:noMultiLvlLbl val="0"/>
      </c:catAx>
      <c:valAx>
        <c:axId val="1422121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21209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PivotTable!$H$57</c:f>
              <c:strCache>
                <c:ptCount val="1"/>
                <c:pt idx="0">
                  <c:v>Total</c:v>
                </c:pt>
              </c:strCache>
            </c:strRef>
          </c:tx>
          <c:spPr>
            <a:solidFill>
              <a:schemeClr val="accent1"/>
            </a:solidFill>
            <a:ln>
              <a:noFill/>
            </a:ln>
            <a:effectLst/>
          </c:spPr>
          <c:invertIfNegative val="0"/>
          <c:cat>
            <c:strRef>
              <c:f>PivotTable!$G$58:$G$158</c:f>
              <c:strCache>
                <c:ptCount val="100"/>
                <c:pt idx="0">
                  <c:v>Electronics Item 1</c:v>
                </c:pt>
                <c:pt idx="1">
                  <c:v>Electronics Item 10</c:v>
                </c:pt>
                <c:pt idx="2">
                  <c:v>Electronics Item 100</c:v>
                </c:pt>
                <c:pt idx="3">
                  <c:v>Electronics Item 11</c:v>
                </c:pt>
                <c:pt idx="4">
                  <c:v>Electronics Item 12</c:v>
                </c:pt>
                <c:pt idx="5">
                  <c:v>Electronics Item 13</c:v>
                </c:pt>
                <c:pt idx="6">
                  <c:v>Electronics Item 14</c:v>
                </c:pt>
                <c:pt idx="7">
                  <c:v>Electronics Item 15</c:v>
                </c:pt>
                <c:pt idx="8">
                  <c:v>Electronics Item 16</c:v>
                </c:pt>
                <c:pt idx="9">
                  <c:v>Electronics Item 17</c:v>
                </c:pt>
                <c:pt idx="10">
                  <c:v>Electronics Item 18</c:v>
                </c:pt>
                <c:pt idx="11">
                  <c:v>Electronics Item 19</c:v>
                </c:pt>
                <c:pt idx="12">
                  <c:v>Electronics Item 2</c:v>
                </c:pt>
                <c:pt idx="13">
                  <c:v>Electronics Item 20</c:v>
                </c:pt>
                <c:pt idx="14">
                  <c:v>Electronics Item 21</c:v>
                </c:pt>
                <c:pt idx="15">
                  <c:v>Electronics Item 22</c:v>
                </c:pt>
                <c:pt idx="16">
                  <c:v>Electronics Item 23</c:v>
                </c:pt>
                <c:pt idx="17">
                  <c:v>Electronics Item 24</c:v>
                </c:pt>
                <c:pt idx="18">
                  <c:v>Electronics Item 25</c:v>
                </c:pt>
                <c:pt idx="19">
                  <c:v>Electronics Item 26</c:v>
                </c:pt>
                <c:pt idx="20">
                  <c:v>Electronics Item 27</c:v>
                </c:pt>
                <c:pt idx="21">
                  <c:v>Electronics Item 28</c:v>
                </c:pt>
                <c:pt idx="22">
                  <c:v>Electronics Item 29</c:v>
                </c:pt>
                <c:pt idx="23">
                  <c:v>Electronics Item 3</c:v>
                </c:pt>
                <c:pt idx="24">
                  <c:v>Electronics Item 30</c:v>
                </c:pt>
                <c:pt idx="25">
                  <c:v>Electronics Item 31</c:v>
                </c:pt>
                <c:pt idx="26">
                  <c:v>Electronics Item 32</c:v>
                </c:pt>
                <c:pt idx="27">
                  <c:v>Electronics Item 33</c:v>
                </c:pt>
                <c:pt idx="28">
                  <c:v>Electronics Item 34</c:v>
                </c:pt>
                <c:pt idx="29">
                  <c:v>Electronics Item 35</c:v>
                </c:pt>
                <c:pt idx="30">
                  <c:v>Electronics Item 36</c:v>
                </c:pt>
                <c:pt idx="31">
                  <c:v>Electronics Item 37</c:v>
                </c:pt>
                <c:pt idx="32">
                  <c:v>Electronics Item 38</c:v>
                </c:pt>
                <c:pt idx="33">
                  <c:v>Electronics Item 39</c:v>
                </c:pt>
                <c:pt idx="34">
                  <c:v>Electronics Item 4</c:v>
                </c:pt>
                <c:pt idx="35">
                  <c:v>Electronics Item 40</c:v>
                </c:pt>
                <c:pt idx="36">
                  <c:v>Electronics Item 41</c:v>
                </c:pt>
                <c:pt idx="37">
                  <c:v>Electronics Item 42</c:v>
                </c:pt>
                <c:pt idx="38">
                  <c:v>Electronics Item 43</c:v>
                </c:pt>
                <c:pt idx="39">
                  <c:v>Electronics Item 44</c:v>
                </c:pt>
                <c:pt idx="40">
                  <c:v>Electronics Item 45</c:v>
                </c:pt>
                <c:pt idx="41">
                  <c:v>Electronics Item 46</c:v>
                </c:pt>
                <c:pt idx="42">
                  <c:v>Electronics Item 47</c:v>
                </c:pt>
                <c:pt idx="43">
                  <c:v>Electronics Item 48</c:v>
                </c:pt>
                <c:pt idx="44">
                  <c:v>Electronics Item 49</c:v>
                </c:pt>
                <c:pt idx="45">
                  <c:v>Electronics Item 5</c:v>
                </c:pt>
                <c:pt idx="46">
                  <c:v>Electronics Item 50</c:v>
                </c:pt>
                <c:pt idx="47">
                  <c:v>Electronics Item 51</c:v>
                </c:pt>
                <c:pt idx="48">
                  <c:v>Electronics Item 52</c:v>
                </c:pt>
                <c:pt idx="49">
                  <c:v>Electronics Item 53</c:v>
                </c:pt>
                <c:pt idx="50">
                  <c:v>Electronics Item 54</c:v>
                </c:pt>
                <c:pt idx="51">
                  <c:v>Electronics Item 55</c:v>
                </c:pt>
                <c:pt idx="52">
                  <c:v>Electronics Item 56</c:v>
                </c:pt>
                <c:pt idx="53">
                  <c:v>Electronics Item 57</c:v>
                </c:pt>
                <c:pt idx="54">
                  <c:v>Electronics Item 58</c:v>
                </c:pt>
                <c:pt idx="55">
                  <c:v>Electronics Item 59</c:v>
                </c:pt>
                <c:pt idx="56">
                  <c:v>Electronics Item 6</c:v>
                </c:pt>
                <c:pt idx="57">
                  <c:v>Electronics Item 60</c:v>
                </c:pt>
                <c:pt idx="58">
                  <c:v>Electronics Item 61</c:v>
                </c:pt>
                <c:pt idx="59">
                  <c:v>Electronics Item 62</c:v>
                </c:pt>
                <c:pt idx="60">
                  <c:v>Electronics Item 63</c:v>
                </c:pt>
                <c:pt idx="61">
                  <c:v>Electronics Item 64</c:v>
                </c:pt>
                <c:pt idx="62">
                  <c:v>Electronics Item 65</c:v>
                </c:pt>
                <c:pt idx="63">
                  <c:v>Electronics Item 66</c:v>
                </c:pt>
                <c:pt idx="64">
                  <c:v>Electronics Item 67</c:v>
                </c:pt>
                <c:pt idx="65">
                  <c:v>Electronics Item 68</c:v>
                </c:pt>
                <c:pt idx="66">
                  <c:v>Electronics Item 69</c:v>
                </c:pt>
                <c:pt idx="67">
                  <c:v>Electronics Item 7</c:v>
                </c:pt>
                <c:pt idx="68">
                  <c:v>Electronics Item 70</c:v>
                </c:pt>
                <c:pt idx="69">
                  <c:v>Electronics Item 71</c:v>
                </c:pt>
                <c:pt idx="70">
                  <c:v>Electronics Item 72</c:v>
                </c:pt>
                <c:pt idx="71">
                  <c:v>Electronics Item 73</c:v>
                </c:pt>
                <c:pt idx="72">
                  <c:v>Electronics Item 74</c:v>
                </c:pt>
                <c:pt idx="73">
                  <c:v>Electronics Item 75</c:v>
                </c:pt>
                <c:pt idx="74">
                  <c:v>Electronics Item 76</c:v>
                </c:pt>
                <c:pt idx="75">
                  <c:v>Electronics Item 77</c:v>
                </c:pt>
                <c:pt idx="76">
                  <c:v>Electronics Item 78</c:v>
                </c:pt>
                <c:pt idx="77">
                  <c:v>Electronics Item 79</c:v>
                </c:pt>
                <c:pt idx="78">
                  <c:v>Electronics Item 8</c:v>
                </c:pt>
                <c:pt idx="79">
                  <c:v>Electronics Item 80</c:v>
                </c:pt>
                <c:pt idx="80">
                  <c:v>Electronics Item 81</c:v>
                </c:pt>
                <c:pt idx="81">
                  <c:v>Electronics Item 82</c:v>
                </c:pt>
                <c:pt idx="82">
                  <c:v>Electronics Item 83</c:v>
                </c:pt>
                <c:pt idx="83">
                  <c:v>Electronics Item 84</c:v>
                </c:pt>
                <c:pt idx="84">
                  <c:v>Electronics Item 85</c:v>
                </c:pt>
                <c:pt idx="85">
                  <c:v>Electronics Item 86</c:v>
                </c:pt>
                <c:pt idx="86">
                  <c:v>Electronics Item 87</c:v>
                </c:pt>
                <c:pt idx="87">
                  <c:v>Electronics Item 88</c:v>
                </c:pt>
                <c:pt idx="88">
                  <c:v>Electronics Item 89</c:v>
                </c:pt>
                <c:pt idx="89">
                  <c:v>Electronics Item 9</c:v>
                </c:pt>
                <c:pt idx="90">
                  <c:v>Electronics Item 90</c:v>
                </c:pt>
                <c:pt idx="91">
                  <c:v>Electronics Item 91</c:v>
                </c:pt>
                <c:pt idx="92">
                  <c:v>Electronics Item 92</c:v>
                </c:pt>
                <c:pt idx="93">
                  <c:v>Electronics Item 93</c:v>
                </c:pt>
                <c:pt idx="94">
                  <c:v>Electronics Item 94</c:v>
                </c:pt>
                <c:pt idx="95">
                  <c:v>Electronics Item 95</c:v>
                </c:pt>
                <c:pt idx="96">
                  <c:v>Electronics Item 96</c:v>
                </c:pt>
                <c:pt idx="97">
                  <c:v>Electronics Item 97</c:v>
                </c:pt>
                <c:pt idx="98">
                  <c:v>Electronics Item 98</c:v>
                </c:pt>
                <c:pt idx="99">
                  <c:v>Electronics Item 99</c:v>
                </c:pt>
              </c:strCache>
            </c:strRef>
          </c:cat>
          <c:val>
            <c:numRef>
              <c:f>PivotTable!$H$58:$H$158</c:f>
              <c:numCache>
                <c:formatCode>General</c:formatCode>
                <c:ptCount val="100"/>
                <c:pt idx="0">
                  <c:v>54137.200000000004</c:v>
                </c:pt>
                <c:pt idx="1">
                  <c:v>95424.72</c:v>
                </c:pt>
                <c:pt idx="2">
                  <c:v>208403.65</c:v>
                </c:pt>
                <c:pt idx="3">
                  <c:v>122450.4</c:v>
                </c:pt>
                <c:pt idx="4">
                  <c:v>109794.97</c:v>
                </c:pt>
                <c:pt idx="5">
                  <c:v>42789.599999999999</c:v>
                </c:pt>
                <c:pt idx="6">
                  <c:v>16216.5</c:v>
                </c:pt>
                <c:pt idx="7">
                  <c:v>12436.44</c:v>
                </c:pt>
                <c:pt idx="8">
                  <c:v>62317.440000000002</c:v>
                </c:pt>
                <c:pt idx="9">
                  <c:v>24977.399999999998</c:v>
                </c:pt>
                <c:pt idx="10">
                  <c:v>84957.7</c:v>
                </c:pt>
                <c:pt idx="11">
                  <c:v>79814.78</c:v>
                </c:pt>
                <c:pt idx="12">
                  <c:v>174059.47</c:v>
                </c:pt>
                <c:pt idx="13">
                  <c:v>164578.61000000002</c:v>
                </c:pt>
                <c:pt idx="14">
                  <c:v>1116.3599999999999</c:v>
                </c:pt>
                <c:pt idx="15">
                  <c:v>28346.100000000002</c:v>
                </c:pt>
                <c:pt idx="16">
                  <c:v>98849.919999999998</c:v>
                </c:pt>
                <c:pt idx="17">
                  <c:v>10179.98</c:v>
                </c:pt>
                <c:pt idx="18">
                  <c:v>99524.25</c:v>
                </c:pt>
                <c:pt idx="19">
                  <c:v>113286.24</c:v>
                </c:pt>
                <c:pt idx="20">
                  <c:v>51491.159999999996</c:v>
                </c:pt>
                <c:pt idx="21">
                  <c:v>30538.32</c:v>
                </c:pt>
                <c:pt idx="22">
                  <c:v>102810.78</c:v>
                </c:pt>
                <c:pt idx="23">
                  <c:v>11339.28</c:v>
                </c:pt>
                <c:pt idx="24">
                  <c:v>64286.439999999995</c:v>
                </c:pt>
                <c:pt idx="25">
                  <c:v>237285.84</c:v>
                </c:pt>
                <c:pt idx="26">
                  <c:v>1861.1999999999998</c:v>
                </c:pt>
                <c:pt idx="27">
                  <c:v>71594.559999999998</c:v>
                </c:pt>
                <c:pt idx="28">
                  <c:v>23482</c:v>
                </c:pt>
                <c:pt idx="29">
                  <c:v>15169</c:v>
                </c:pt>
                <c:pt idx="30">
                  <c:v>107892.40000000001</c:v>
                </c:pt>
                <c:pt idx="31">
                  <c:v>89245.08</c:v>
                </c:pt>
                <c:pt idx="32">
                  <c:v>28051.8</c:v>
                </c:pt>
                <c:pt idx="33">
                  <c:v>112488.73999999999</c:v>
                </c:pt>
                <c:pt idx="34">
                  <c:v>40486.879999999997</c:v>
                </c:pt>
                <c:pt idx="35">
                  <c:v>6515.04</c:v>
                </c:pt>
                <c:pt idx="36">
                  <c:v>9048.2199999999993</c:v>
                </c:pt>
                <c:pt idx="37">
                  <c:v>28620.239999999998</c:v>
                </c:pt>
                <c:pt idx="38">
                  <c:v>137248.54</c:v>
                </c:pt>
                <c:pt idx="39">
                  <c:v>67171.039999999994</c:v>
                </c:pt>
                <c:pt idx="40">
                  <c:v>38196.520000000004</c:v>
                </c:pt>
                <c:pt idx="41">
                  <c:v>60770.34</c:v>
                </c:pt>
                <c:pt idx="42">
                  <c:v>35566.559999999998</c:v>
                </c:pt>
                <c:pt idx="43">
                  <c:v>10202.16</c:v>
                </c:pt>
                <c:pt idx="44">
                  <c:v>25783.649999999998</c:v>
                </c:pt>
                <c:pt idx="45">
                  <c:v>23117.4</c:v>
                </c:pt>
                <c:pt idx="46">
                  <c:v>18151.41</c:v>
                </c:pt>
                <c:pt idx="47">
                  <c:v>108394.84999999999</c:v>
                </c:pt>
                <c:pt idx="48">
                  <c:v>71331.900000000009</c:v>
                </c:pt>
                <c:pt idx="49">
                  <c:v>40004.519999999997</c:v>
                </c:pt>
                <c:pt idx="50">
                  <c:v>9491.0399999999991</c:v>
                </c:pt>
                <c:pt idx="51">
                  <c:v>111079.7</c:v>
                </c:pt>
                <c:pt idx="52">
                  <c:v>10893.6</c:v>
                </c:pt>
                <c:pt idx="53">
                  <c:v>1892.5</c:v>
                </c:pt>
                <c:pt idx="54">
                  <c:v>19264.41</c:v>
                </c:pt>
                <c:pt idx="55">
                  <c:v>10622.85</c:v>
                </c:pt>
                <c:pt idx="56">
                  <c:v>128311.98000000001</c:v>
                </c:pt>
                <c:pt idx="57">
                  <c:v>15927.64</c:v>
                </c:pt>
                <c:pt idx="58">
                  <c:v>46525.71</c:v>
                </c:pt>
                <c:pt idx="59">
                  <c:v>14884.22</c:v>
                </c:pt>
                <c:pt idx="60">
                  <c:v>184654.07999999999</c:v>
                </c:pt>
                <c:pt idx="61">
                  <c:v>4480.8</c:v>
                </c:pt>
                <c:pt idx="62">
                  <c:v>71718.840000000011</c:v>
                </c:pt>
                <c:pt idx="63">
                  <c:v>33750.080000000002</c:v>
                </c:pt>
                <c:pt idx="64">
                  <c:v>60776.999999999993</c:v>
                </c:pt>
                <c:pt idx="65">
                  <c:v>6362.72</c:v>
                </c:pt>
                <c:pt idx="66">
                  <c:v>3678.75</c:v>
                </c:pt>
                <c:pt idx="67">
                  <c:v>22184.559999999998</c:v>
                </c:pt>
                <c:pt idx="68">
                  <c:v>10802.22</c:v>
                </c:pt>
                <c:pt idx="69">
                  <c:v>71025.62999999999</c:v>
                </c:pt>
                <c:pt idx="70">
                  <c:v>144782.39999999999</c:v>
                </c:pt>
                <c:pt idx="71">
                  <c:v>25258.52</c:v>
                </c:pt>
                <c:pt idx="72">
                  <c:v>6103.44</c:v>
                </c:pt>
                <c:pt idx="73">
                  <c:v>14736.4</c:v>
                </c:pt>
                <c:pt idx="74">
                  <c:v>79361.98000000001</c:v>
                </c:pt>
                <c:pt idx="75">
                  <c:v>12501.75</c:v>
                </c:pt>
                <c:pt idx="76">
                  <c:v>74249.2</c:v>
                </c:pt>
                <c:pt idx="77">
                  <c:v>7528.1399999999994</c:v>
                </c:pt>
                <c:pt idx="78">
                  <c:v>127111.72</c:v>
                </c:pt>
                <c:pt idx="79">
                  <c:v>34278.800000000003</c:v>
                </c:pt>
                <c:pt idx="80">
                  <c:v>104107.5</c:v>
                </c:pt>
                <c:pt idx="81">
                  <c:v>60317.4</c:v>
                </c:pt>
                <c:pt idx="82">
                  <c:v>29657.46</c:v>
                </c:pt>
                <c:pt idx="83">
                  <c:v>7718.9400000000005</c:v>
                </c:pt>
                <c:pt idx="84">
                  <c:v>41097.42</c:v>
                </c:pt>
                <c:pt idx="85">
                  <c:v>3894.44</c:v>
                </c:pt>
                <c:pt idx="86">
                  <c:v>24677.789999999997</c:v>
                </c:pt>
                <c:pt idx="87">
                  <c:v>143051.4</c:v>
                </c:pt>
                <c:pt idx="88">
                  <c:v>163217.60000000001</c:v>
                </c:pt>
                <c:pt idx="89">
                  <c:v>145885.9</c:v>
                </c:pt>
                <c:pt idx="90">
                  <c:v>8612.1999999999989</c:v>
                </c:pt>
                <c:pt idx="91">
                  <c:v>27731.539999999997</c:v>
                </c:pt>
                <c:pt idx="92">
                  <c:v>78393.63</c:v>
                </c:pt>
                <c:pt idx="93">
                  <c:v>179930.6</c:v>
                </c:pt>
                <c:pt idx="94">
                  <c:v>31003.200000000001</c:v>
                </c:pt>
                <c:pt idx="95">
                  <c:v>19153.75</c:v>
                </c:pt>
                <c:pt idx="96">
                  <c:v>10537.02</c:v>
                </c:pt>
                <c:pt idx="97">
                  <c:v>85505.88</c:v>
                </c:pt>
                <c:pt idx="98">
                  <c:v>133482.66</c:v>
                </c:pt>
                <c:pt idx="99">
                  <c:v>9872.52</c:v>
                </c:pt>
              </c:numCache>
            </c:numRef>
          </c:val>
          <c:extLst>
            <c:ext xmlns:c16="http://schemas.microsoft.com/office/drawing/2014/chart" uri="{C3380CC4-5D6E-409C-BE32-E72D297353CC}">
              <c16:uniqueId val="{00000000-FD09-4884-9F78-B6B3070E0CD0}"/>
            </c:ext>
          </c:extLst>
        </c:ser>
        <c:dLbls>
          <c:showLegendKey val="0"/>
          <c:showVal val="0"/>
          <c:showCatName val="0"/>
          <c:showSerName val="0"/>
          <c:showPercent val="0"/>
          <c:showBubbleSize val="0"/>
        </c:dLbls>
        <c:gapWidth val="219"/>
        <c:overlap val="-27"/>
        <c:axId val="1041777264"/>
        <c:axId val="1041794064"/>
      </c:barChart>
      <c:catAx>
        <c:axId val="104177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794064"/>
        <c:crosses val="autoZero"/>
        <c:auto val="1"/>
        <c:lblAlgn val="ctr"/>
        <c:lblOffset val="100"/>
        <c:noMultiLvlLbl val="0"/>
      </c:catAx>
      <c:valAx>
        <c:axId val="10417940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17772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Items</a:t>
            </a:r>
            <a:r>
              <a:rPr lang="en-US" sz="1600" b="1" baseline="0">
                <a:solidFill>
                  <a:schemeClr val="tx1"/>
                </a:solidFill>
              </a:rPr>
              <a:t> by Status</a:t>
            </a:r>
            <a:endParaRPr lang="en-US" sz="1600" b="1">
              <a:solidFill>
                <a:schemeClr val="tx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2379406966021139"/>
              <c:y val="9.9040637161734099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0.12248553390285677"/>
              <c:y val="-0.1081009767678244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pieChart>
        <c:varyColors val="1"/>
        <c:ser>
          <c:idx val="0"/>
          <c:order val="0"/>
          <c:tx>
            <c:strRef>
              <c:f>PivotTable!$M$1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4BC-4930-9C08-DC972303E8B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4BC-4930-9C08-DC972303E8BC}"/>
              </c:ext>
            </c:extLst>
          </c:dPt>
          <c:dLbls>
            <c:dLbl>
              <c:idx val="0"/>
              <c:layout>
                <c:manualLayout>
                  <c:x val="-0.12379406966021139"/>
                  <c:y val="9.9040637161734099E-2"/>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4BC-4930-9C08-DC972303E8BC}"/>
                </c:ext>
              </c:extLst>
            </c:dLbl>
            <c:dLbl>
              <c:idx val="1"/>
              <c:layout>
                <c:manualLayout>
                  <c:x val="0.12248553390285677"/>
                  <c:y val="-0.10810097676782444"/>
                </c:manualLayout>
              </c:layout>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4BC-4930-9C08-DC972303E8B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PivotTable!$L$2:$L$4</c:f>
              <c:strCache>
                <c:ptCount val="2"/>
                <c:pt idx="0">
                  <c:v>Below Reorder</c:v>
                </c:pt>
                <c:pt idx="1">
                  <c:v>Sufficient</c:v>
                </c:pt>
              </c:strCache>
            </c:strRef>
          </c:cat>
          <c:val>
            <c:numRef>
              <c:f>PivotTable!$M$2:$M$4</c:f>
              <c:numCache>
                <c:formatCode>General</c:formatCode>
                <c:ptCount val="2"/>
                <c:pt idx="0">
                  <c:v>31</c:v>
                </c:pt>
                <c:pt idx="1">
                  <c:v>69</c:v>
                </c:pt>
              </c:numCache>
            </c:numRef>
          </c:val>
          <c:extLst>
            <c:ext xmlns:c16="http://schemas.microsoft.com/office/drawing/2014/chart" uri="{C3380CC4-5D6E-409C-BE32-E72D297353CC}">
              <c16:uniqueId val="{00000004-F4BC-4930-9C08-DC972303E8BC}"/>
            </c:ext>
          </c:extLst>
        </c:ser>
        <c:dLbls>
          <c:showLegendKey val="0"/>
          <c:showVal val="0"/>
          <c:showCatName val="0"/>
          <c:showSerName val="0"/>
          <c:showPercent val="0"/>
          <c:showBubbleSize val="0"/>
          <c:showLeaderLines val="0"/>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u="none">
                <a:solidFill>
                  <a:schemeClr val="tx1"/>
                </a:solidFill>
              </a:rPr>
              <a:t>Total</a:t>
            </a:r>
            <a:r>
              <a:rPr lang="en-US" sz="1600" b="1" u="none" baseline="0">
                <a:solidFill>
                  <a:schemeClr val="tx1"/>
                </a:solidFill>
              </a:rPr>
              <a:t> Stock Value By Category</a:t>
            </a:r>
            <a:endParaRPr lang="en-US" sz="1600" b="1" u="none">
              <a:solidFill>
                <a:schemeClr val="tx1"/>
              </a:solidFill>
            </a:endParaRPr>
          </a:p>
        </c:rich>
      </c:tx>
      <c:layout>
        <c:manualLayout>
          <c:xMode val="edge"/>
          <c:yMode val="edge"/>
          <c:x val="0.29296939115004988"/>
          <c:y val="5.679790026246719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PivotTable!$P$1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PivotTable!$O$2:$O$5</c:f>
              <c:strCache>
                <c:ptCount val="3"/>
                <c:pt idx="0">
                  <c:v>Category A</c:v>
                </c:pt>
                <c:pt idx="1">
                  <c:v>Category B</c:v>
                </c:pt>
                <c:pt idx="2">
                  <c:v>Category C</c:v>
                </c:pt>
              </c:strCache>
            </c:strRef>
          </c:cat>
          <c:val>
            <c:numRef>
              <c:f>PivotTable!$P$2:$P$5</c:f>
              <c:numCache>
                <c:formatCode>General</c:formatCode>
                <c:ptCount val="3"/>
                <c:pt idx="0">
                  <c:v>1967566.4199999995</c:v>
                </c:pt>
                <c:pt idx="1">
                  <c:v>2307882.8099999996</c:v>
                </c:pt>
                <c:pt idx="2">
                  <c:v>1668447.8999999997</c:v>
                </c:pt>
              </c:numCache>
            </c:numRef>
          </c:val>
          <c:extLst>
            <c:ext xmlns:c16="http://schemas.microsoft.com/office/drawing/2014/chart" uri="{C3380CC4-5D6E-409C-BE32-E72D297353CC}">
              <c16:uniqueId val="{00000000-00AD-4EEA-92CB-C72D94154AA3}"/>
            </c:ext>
          </c:extLst>
        </c:ser>
        <c:dLbls>
          <c:dLblPos val="outEnd"/>
          <c:showLegendKey val="0"/>
          <c:showVal val="1"/>
          <c:showCatName val="0"/>
          <c:showSerName val="0"/>
          <c:showPercent val="0"/>
          <c:showBubbleSize val="0"/>
        </c:dLbls>
        <c:gapWidth val="219"/>
        <c:overlap val="-27"/>
        <c:axId val="2070469087"/>
        <c:axId val="2070469567"/>
      </c:barChart>
      <c:catAx>
        <c:axId val="2070469087"/>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Category</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70469567"/>
        <c:crosses val="autoZero"/>
        <c:auto val="1"/>
        <c:lblAlgn val="ctr"/>
        <c:lblOffset val="100"/>
        <c:noMultiLvlLbl val="0"/>
      </c:catAx>
      <c:valAx>
        <c:axId val="207046956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n-IN" b="1">
                    <a:solidFill>
                      <a:schemeClr val="tx1"/>
                    </a:solidFill>
                  </a:rPr>
                  <a:t> Stock</a:t>
                </a:r>
                <a:r>
                  <a:rPr lang="en-IN" b="1" baseline="0">
                    <a:solidFill>
                      <a:schemeClr val="tx1"/>
                    </a:solidFill>
                  </a:rPr>
                  <a:t> Value</a:t>
                </a:r>
                <a:endParaRPr lang="en-IN" b="1">
                  <a:solidFill>
                    <a:schemeClr val="tx1"/>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704690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Avg.Stock</a:t>
            </a:r>
            <a:r>
              <a:rPr lang="en-US" sz="1600" b="1" baseline="0">
                <a:solidFill>
                  <a:schemeClr val="tx1"/>
                </a:solidFill>
              </a:rPr>
              <a:t> Value by Warehouse</a:t>
            </a:r>
            <a:endParaRPr lang="en-US" sz="1600" b="1">
              <a:solidFill>
                <a:schemeClr val="tx1"/>
              </a:solidFill>
            </a:endParaRPr>
          </a:p>
        </c:rich>
      </c:tx>
      <c:layout>
        <c:manualLayout>
          <c:xMode val="edge"/>
          <c:yMode val="edge"/>
          <c:x val="0.35718804812166566"/>
          <c:y val="0.104502731311428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circle"/>
          <c:size val="5"/>
          <c:spPr>
            <a:solidFill>
              <a:schemeClr val="accent1"/>
            </a:solidFill>
            <a:ln w="9525">
              <a:solidFill>
                <a:schemeClr val="accent1"/>
              </a:solidFill>
            </a:ln>
            <a:effectLst/>
          </c:spPr>
        </c:marker>
        <c:dLbl>
          <c:idx val="0"/>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layout>
            <c:manualLayout>
              <c:x val="-2.777777777777676E-3"/>
              <c:y val="-0.19907407407407407"/>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dLbl>
          <c:idx val="0"/>
          <c:layout>
            <c:manualLayout>
              <c:x val="2.7777777777777779E-3"/>
              <c:y val="-0.14351851851851852"/>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5.277777777777775E-2"/>
              <c:y val="-0.23148148148148148"/>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layout>
            <c:manualLayout>
              <c:x val="5.277777777777775E-2"/>
              <c:y val="-0.23148148148148148"/>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2.7777777777777779E-3"/>
              <c:y val="-0.14351851851851852"/>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2.777777777777676E-3"/>
              <c:y val="-0.19907407407407407"/>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4.3485786477798986E-2"/>
              <c:y val="-0.24261108727971722"/>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3.1981326457435941E-2"/>
              <c:y val="-0.18696179598671217"/>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3.8372658294636548E-2"/>
              <c:y val="-0.24251747031767051"/>
            </c:manualLayout>
          </c:layout>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185868935470314"/>
          <c:y val="0.31061696742736611"/>
          <c:w val="0.85093766465534337"/>
          <c:h val="0.35755068775946786"/>
        </c:manualLayout>
      </c:layout>
      <c:areaChart>
        <c:grouping val="stacked"/>
        <c:varyColors val="0"/>
        <c:ser>
          <c:idx val="0"/>
          <c:order val="0"/>
          <c:tx>
            <c:strRef>
              <c:f>PivotTable!$H$7</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0-EE24-49B7-B469-213C4F79B055}"/>
              </c:ext>
            </c:extLst>
          </c:dPt>
          <c:dPt>
            <c:idx val="1"/>
            <c:bubble3D val="0"/>
            <c:extLst>
              <c:ext xmlns:c16="http://schemas.microsoft.com/office/drawing/2014/chart" uri="{C3380CC4-5D6E-409C-BE32-E72D297353CC}">
                <c16:uniqueId val="{00000001-EE24-49B7-B469-213C4F79B055}"/>
              </c:ext>
            </c:extLst>
          </c:dPt>
          <c:dPt>
            <c:idx val="2"/>
            <c:bubble3D val="0"/>
            <c:extLst>
              <c:ext xmlns:c16="http://schemas.microsoft.com/office/drawing/2014/chart" uri="{C3380CC4-5D6E-409C-BE32-E72D297353CC}">
                <c16:uniqueId val="{00000002-EE24-49B7-B469-213C4F79B055}"/>
              </c:ext>
            </c:extLst>
          </c:dPt>
          <c:dLbls>
            <c:dLbl>
              <c:idx val="0"/>
              <c:layout>
                <c:manualLayout>
                  <c:x val="4.3485786477798986E-2"/>
                  <c:y val="-0.2426110872797172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E24-49B7-B469-213C4F79B055}"/>
                </c:ext>
              </c:extLst>
            </c:dLbl>
            <c:dLbl>
              <c:idx val="1"/>
              <c:layout>
                <c:manualLayout>
                  <c:x val="3.1981326457435941E-2"/>
                  <c:y val="-0.186961795986712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E24-49B7-B469-213C4F79B055}"/>
                </c:ext>
              </c:extLst>
            </c:dLbl>
            <c:dLbl>
              <c:idx val="2"/>
              <c:layout>
                <c:manualLayout>
                  <c:x val="3.8372658294636548E-2"/>
                  <c:y val="-0.2425174703176705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E24-49B7-B469-213C4F79B055}"/>
                </c:ext>
              </c:extLst>
            </c:dLbl>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PivotTable!$G$8:$G$11</c:f>
              <c:strCache>
                <c:ptCount val="3"/>
                <c:pt idx="0">
                  <c:v>Warehouse A</c:v>
                </c:pt>
                <c:pt idx="1">
                  <c:v>Warehouse B</c:v>
                </c:pt>
                <c:pt idx="2">
                  <c:v>Warehouse C</c:v>
                </c:pt>
              </c:strCache>
            </c:strRef>
          </c:cat>
          <c:val>
            <c:numRef>
              <c:f>PivotTable!$H$8:$H$11</c:f>
              <c:numCache>
                <c:formatCode>General</c:formatCode>
                <c:ptCount val="3"/>
                <c:pt idx="0">
                  <c:v>62245.447073170719</c:v>
                </c:pt>
                <c:pt idx="1">
                  <c:v>55258.412799999991</c:v>
                </c:pt>
                <c:pt idx="2">
                  <c:v>59128.631764705875</c:v>
                </c:pt>
              </c:numCache>
            </c:numRef>
          </c:val>
          <c:extLst>
            <c:ext xmlns:c16="http://schemas.microsoft.com/office/drawing/2014/chart" uri="{C3380CC4-5D6E-409C-BE32-E72D297353CC}">
              <c16:uniqueId val="{00000003-EE24-49B7-B469-213C4F79B055}"/>
            </c:ext>
          </c:extLst>
        </c:ser>
        <c:dLbls>
          <c:showLegendKey val="0"/>
          <c:showVal val="1"/>
          <c:showCatName val="0"/>
          <c:showSerName val="0"/>
          <c:showPercent val="0"/>
          <c:showBubbleSize val="0"/>
        </c:dLbls>
        <c:axId val="194141231"/>
        <c:axId val="194141711"/>
      </c:areaChart>
      <c:catAx>
        <c:axId val="194141231"/>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IN" sz="1000" b="1" i="0" u="none" strike="noStrike" kern="1200" baseline="0">
                    <a:solidFill>
                      <a:sysClr val="windowText" lastClr="000000"/>
                    </a:solidFill>
                  </a:rPr>
                  <a:t>Warehouses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4141711"/>
        <c:crosses val="autoZero"/>
        <c:auto val="1"/>
        <c:lblAlgn val="ctr"/>
        <c:lblOffset val="100"/>
        <c:noMultiLvlLbl val="0"/>
      </c:catAx>
      <c:valAx>
        <c:axId val="1941417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IN" sz="1000" b="1" i="0" u="none" strike="noStrike" kern="1200" baseline="0">
                    <a:solidFill>
                      <a:sysClr val="windowText" lastClr="000000"/>
                    </a:solidFill>
                  </a:rPr>
                  <a:t>Avg.Stock Value</a:t>
                </a:r>
              </a:p>
            </c:rich>
          </c:tx>
          <c:layout>
            <c:manualLayout>
              <c:xMode val="edge"/>
              <c:yMode val="edge"/>
              <c:x val="3.1858408189617736E-2"/>
              <c:y val="0.29799746096196961"/>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94141231"/>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Copy.xlsm]PivotTable!PivotTable9</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chemeClr val="tx1"/>
                </a:solidFill>
              </a:rPr>
              <a:t>Total Stock Quantity by Warehouse</a:t>
            </a:r>
          </a:p>
        </c:rich>
      </c:tx>
      <c:layout>
        <c:manualLayout>
          <c:xMode val="edge"/>
          <c:yMode val="edge"/>
          <c:x val="0.25200905540573448"/>
          <c:y val="9.170999329066731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w="19050">
            <a:solidFill>
              <a:schemeClr val="lt1"/>
            </a:solidFill>
          </a:ln>
          <a:effectLst/>
        </c:spPr>
        <c:dLbl>
          <c:idx val="0"/>
          <c:layout>
            <c:manualLayout>
              <c:x val="0.11944444444444445"/>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2"/>
          </a:solidFill>
          <a:ln w="19050">
            <a:solidFill>
              <a:schemeClr val="lt1"/>
            </a:solidFill>
          </a:ln>
          <a:effectLst/>
        </c:spPr>
        <c:dLbl>
          <c:idx val="0"/>
          <c:layout>
            <c:manualLayout>
              <c:x val="-3.0555555555555555E-2"/>
              <c:y val="0.1226003490401396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3"/>
          </a:solidFill>
          <a:ln w="19050">
            <a:solidFill>
              <a:schemeClr val="lt1"/>
            </a:solidFill>
          </a:ln>
          <a:effectLst/>
        </c:spPr>
        <c:dLbl>
          <c:idx val="0"/>
          <c:layout>
            <c:manualLayout>
              <c:x val="-0.1416666666666666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w="19050">
            <a:solidFill>
              <a:schemeClr val="lt1"/>
            </a:solidFill>
          </a:ln>
          <a:effectLst/>
        </c:spPr>
        <c:dLbl>
          <c:idx val="0"/>
          <c:layout>
            <c:manualLayout>
              <c:x val="0.11944444444444445"/>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w="19050">
            <a:solidFill>
              <a:schemeClr val="lt1"/>
            </a:solidFill>
          </a:ln>
          <a:effectLst/>
        </c:spPr>
        <c:dLbl>
          <c:idx val="0"/>
          <c:layout>
            <c:manualLayout>
              <c:x val="-3.0555555555555555E-2"/>
              <c:y val="0.1226003490401396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w="19050">
            <a:solidFill>
              <a:schemeClr val="lt1"/>
            </a:solidFill>
          </a:ln>
          <a:effectLst/>
        </c:spPr>
        <c:dLbl>
          <c:idx val="0"/>
          <c:layout>
            <c:manualLayout>
              <c:x val="-0.1416666666666666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w="19050">
            <a:solidFill>
              <a:schemeClr val="lt1"/>
            </a:solidFill>
          </a:ln>
          <a:effectLst/>
        </c:spPr>
        <c:dLbl>
          <c:idx val="0"/>
          <c:layout>
            <c:manualLayout>
              <c:x val="0.11944444444444445"/>
              <c:y val="-6.9444444444444448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w="19050">
            <a:solidFill>
              <a:schemeClr val="lt1"/>
            </a:solidFill>
          </a:ln>
          <a:effectLst/>
        </c:spPr>
        <c:dLbl>
          <c:idx val="0"/>
          <c:layout>
            <c:manualLayout>
              <c:x val="-3.0555555555555555E-2"/>
              <c:y val="0.12260034904013961"/>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w="19050">
            <a:solidFill>
              <a:schemeClr val="lt1"/>
            </a:solidFill>
          </a:ln>
          <a:effectLst/>
        </c:spPr>
        <c:dLbl>
          <c:idx val="0"/>
          <c:layout>
            <c:manualLayout>
              <c:x val="-0.14166666666666669"/>
              <c:y val="2.7777777777777776E-2"/>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0.30551596675415571"/>
          <c:y val="0.23821130670184551"/>
          <c:w val="0.38896806649168852"/>
          <c:h val="0.61094460705500819"/>
        </c:manualLayout>
      </c:layout>
      <c:doughnutChart>
        <c:varyColors val="1"/>
        <c:ser>
          <c:idx val="0"/>
          <c:order val="0"/>
          <c:tx>
            <c:strRef>
              <c:f>PivotTable!$B$7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01-49E0-A91D-46401E040B2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01-49E0-A91D-46401E040B2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01-49E0-A91D-46401E040B2F}"/>
              </c:ext>
            </c:extLst>
          </c:dPt>
          <c:dLbls>
            <c:dLbl>
              <c:idx val="0"/>
              <c:layout>
                <c:manualLayout>
                  <c:x val="0.11944444444444445"/>
                  <c:y val="-6.9444444444444448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AA01-49E0-A91D-46401E040B2F}"/>
                </c:ext>
              </c:extLst>
            </c:dLbl>
            <c:dLbl>
              <c:idx val="1"/>
              <c:layout>
                <c:manualLayout>
                  <c:x val="-3.0555555555555555E-2"/>
                  <c:y val="0.1226003490401396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A01-49E0-A91D-46401E040B2F}"/>
                </c:ext>
              </c:extLst>
            </c:dLbl>
            <c:dLbl>
              <c:idx val="2"/>
              <c:layout>
                <c:manualLayout>
                  <c:x val="-0.14166666666666669"/>
                  <c:y val="2.777777777777777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AA01-49E0-A91D-46401E040B2F}"/>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PivotTable!$A$8:$A$11</c:f>
              <c:strCache>
                <c:ptCount val="3"/>
                <c:pt idx="0">
                  <c:v>Warehouse A</c:v>
                </c:pt>
                <c:pt idx="1">
                  <c:v>Warehouse B</c:v>
                </c:pt>
                <c:pt idx="2">
                  <c:v>Warehouse C</c:v>
                </c:pt>
              </c:strCache>
            </c:strRef>
          </c:cat>
          <c:val>
            <c:numRef>
              <c:f>PivotTable!$B$8:$B$11</c:f>
              <c:numCache>
                <c:formatCode>General</c:formatCode>
                <c:ptCount val="3"/>
                <c:pt idx="0">
                  <c:v>10178</c:v>
                </c:pt>
                <c:pt idx="1">
                  <c:v>5250</c:v>
                </c:pt>
                <c:pt idx="2">
                  <c:v>8974</c:v>
                </c:pt>
              </c:numCache>
            </c:numRef>
          </c:val>
          <c:extLst>
            <c:ext xmlns:c16="http://schemas.microsoft.com/office/drawing/2014/chart" uri="{C3380CC4-5D6E-409C-BE32-E72D297353CC}">
              <c16:uniqueId val="{00000006-AA01-49E0-A91D-46401E040B2F}"/>
            </c:ext>
          </c:extLst>
        </c:ser>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Total Stock Value by Warehouse</a:t>
            </a:r>
          </a:p>
        </c:rich>
      </c:tx>
      <c:layout>
        <c:manualLayout>
          <c:xMode val="edge"/>
          <c:yMode val="edge"/>
          <c:x val="0.29202390345846391"/>
          <c:y val="8.24477629510413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PivotTable!$E$7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PivotTable!$D$8:$D$11</c:f>
              <c:strCache>
                <c:ptCount val="3"/>
                <c:pt idx="0">
                  <c:v>Warehouse A</c:v>
                </c:pt>
                <c:pt idx="1">
                  <c:v>Warehouse B</c:v>
                </c:pt>
                <c:pt idx="2">
                  <c:v>Warehouse C</c:v>
                </c:pt>
              </c:strCache>
            </c:strRef>
          </c:cat>
          <c:val>
            <c:numRef>
              <c:f>PivotTable!$E$8:$E$11</c:f>
              <c:numCache>
                <c:formatCode>General</c:formatCode>
                <c:ptCount val="3"/>
                <c:pt idx="0">
                  <c:v>2552063.3299999996</c:v>
                </c:pt>
                <c:pt idx="1">
                  <c:v>1381460.3199999998</c:v>
                </c:pt>
                <c:pt idx="2">
                  <c:v>2010373.4799999997</c:v>
                </c:pt>
              </c:numCache>
            </c:numRef>
          </c:val>
          <c:extLst>
            <c:ext xmlns:c16="http://schemas.microsoft.com/office/drawing/2014/chart" uri="{C3380CC4-5D6E-409C-BE32-E72D297353CC}">
              <c16:uniqueId val="{00000000-46BF-4EFC-8D01-535DF94EF877}"/>
            </c:ext>
          </c:extLst>
        </c:ser>
        <c:dLbls>
          <c:dLblPos val="outEnd"/>
          <c:showLegendKey val="0"/>
          <c:showVal val="1"/>
          <c:showCatName val="0"/>
          <c:showSerName val="0"/>
          <c:showPercent val="0"/>
          <c:showBubbleSize val="0"/>
        </c:dLbls>
        <c:gapWidth val="219"/>
        <c:overlap val="-27"/>
        <c:axId val="194109071"/>
        <c:axId val="194109551"/>
      </c:barChart>
      <c:catAx>
        <c:axId val="19410907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Warehouses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4109551"/>
        <c:crosses val="autoZero"/>
        <c:auto val="1"/>
        <c:lblAlgn val="ctr"/>
        <c:lblOffset val="100"/>
        <c:noMultiLvlLbl val="0"/>
      </c:catAx>
      <c:valAx>
        <c:axId val="19410955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Stock</a:t>
                </a:r>
                <a:r>
                  <a:rPr lang="en-IN" b="1" baseline="0">
                    <a:solidFill>
                      <a:sysClr val="windowText" lastClr="000000"/>
                    </a:solidFill>
                  </a:rPr>
                  <a:t> Value</a:t>
                </a:r>
                <a:endParaRPr lang="en-IN" b="1">
                  <a:solidFill>
                    <a:sysClr val="windowText" lastClr="000000"/>
                  </a:solidFill>
                </a:endParaRPr>
              </a:p>
            </c:rich>
          </c:tx>
          <c:layout>
            <c:manualLayout>
              <c:xMode val="edge"/>
              <c:yMode val="edge"/>
              <c:x val="2.9347827000336963E-2"/>
              <c:y val="0.30364540346034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4109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Total Stock Quantity by Supplier</a:t>
            </a:r>
          </a:p>
        </c:rich>
      </c:tx>
      <c:layout>
        <c:manualLayout>
          <c:xMode val="edge"/>
          <c:yMode val="edge"/>
          <c:x val="0.2401452641536149"/>
          <c:y val="0.11131892894233097"/>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777389591884075"/>
          <c:y val="0.24749753866634946"/>
          <c:w val="0.81216536719071764"/>
          <c:h val="0.50550436037805413"/>
        </c:manualLayout>
      </c:layout>
      <c:barChart>
        <c:barDir val="col"/>
        <c:grouping val="stacked"/>
        <c:varyColors val="0"/>
        <c:ser>
          <c:idx val="0"/>
          <c:order val="0"/>
          <c:tx>
            <c:strRef>
              <c:f>PivotTable!$B$30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PivotTable!$A$31:$A$34</c:f>
              <c:strCache>
                <c:ptCount val="3"/>
                <c:pt idx="0">
                  <c:v>Supplier X</c:v>
                </c:pt>
                <c:pt idx="1">
                  <c:v>Supplier Y</c:v>
                </c:pt>
                <c:pt idx="2">
                  <c:v>Supplier Z</c:v>
                </c:pt>
              </c:strCache>
            </c:strRef>
          </c:cat>
          <c:val>
            <c:numRef>
              <c:f>PivotTable!$B$31:$B$34</c:f>
              <c:numCache>
                <c:formatCode>General</c:formatCode>
                <c:ptCount val="3"/>
                <c:pt idx="0">
                  <c:v>9914</c:v>
                </c:pt>
                <c:pt idx="1">
                  <c:v>8738</c:v>
                </c:pt>
                <c:pt idx="2">
                  <c:v>5750</c:v>
                </c:pt>
              </c:numCache>
            </c:numRef>
          </c:val>
          <c:extLst>
            <c:ext xmlns:c16="http://schemas.microsoft.com/office/drawing/2014/chart" uri="{C3380CC4-5D6E-409C-BE32-E72D297353CC}">
              <c16:uniqueId val="{00000000-84C2-4E60-A285-419DAAEC253F}"/>
            </c:ext>
          </c:extLst>
        </c:ser>
        <c:dLbls>
          <c:dLblPos val="ctr"/>
          <c:showLegendKey val="0"/>
          <c:showVal val="1"/>
          <c:showCatName val="0"/>
          <c:showSerName val="0"/>
          <c:showPercent val="0"/>
          <c:showBubbleSize val="0"/>
        </c:dLbls>
        <c:gapWidth val="150"/>
        <c:overlap val="100"/>
        <c:axId val="1595818800"/>
        <c:axId val="1595812080"/>
      </c:barChart>
      <c:catAx>
        <c:axId val="1595818800"/>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IN" sz="1000" b="1" i="0" u="none" strike="noStrike" kern="1200" baseline="0">
                    <a:solidFill>
                      <a:sysClr val="windowText" lastClr="000000"/>
                    </a:solidFill>
                  </a:rPr>
                  <a:t>Suppliers</a:t>
                </a:r>
              </a:p>
            </c:rich>
          </c:tx>
          <c:layout>
            <c:manualLayout>
              <c:xMode val="edge"/>
              <c:yMode val="edge"/>
              <c:x val="0.49269461691173588"/>
              <c:y val="0.85712749075576244"/>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595812080"/>
        <c:crosses val="autoZero"/>
        <c:auto val="1"/>
        <c:lblAlgn val="ctr"/>
        <c:lblOffset val="100"/>
        <c:noMultiLvlLbl val="0"/>
      </c:catAx>
      <c:valAx>
        <c:axId val="1595812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Stock</a:t>
                </a:r>
                <a:r>
                  <a:rPr lang="en-IN" b="1" baseline="0">
                    <a:solidFill>
                      <a:sysClr val="windowText" lastClr="000000"/>
                    </a:solidFill>
                  </a:rPr>
                  <a:t> Quantity</a:t>
                </a:r>
                <a:endParaRPr lang="en-IN"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5958188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Copy.xlsm]PivotTable!PivotTable12</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Total Stock Value by Supplier</a:t>
            </a:r>
          </a:p>
        </c:rich>
      </c:tx>
      <c:layout>
        <c:manualLayout>
          <c:xMode val="edge"/>
          <c:yMode val="edge"/>
          <c:x val="0.27185777827974633"/>
          <c:y val="9.060944311121618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740800964665474"/>
          <c:y val="0.25933264508140824"/>
          <c:w val="0.79358808053495089"/>
          <c:h val="0.52409335281301717"/>
        </c:manualLayout>
      </c:layout>
      <c:barChart>
        <c:barDir val="col"/>
        <c:grouping val="clustered"/>
        <c:varyColors val="0"/>
        <c:ser>
          <c:idx val="0"/>
          <c:order val="0"/>
          <c:tx>
            <c:strRef>
              <c:f>PivotTable!$E$30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PivotTable!$D$31:$D$34</c:f>
              <c:strCache>
                <c:ptCount val="3"/>
                <c:pt idx="0">
                  <c:v>Supplier X</c:v>
                </c:pt>
                <c:pt idx="1">
                  <c:v>Supplier Y</c:v>
                </c:pt>
                <c:pt idx="2">
                  <c:v>Supplier Z</c:v>
                </c:pt>
              </c:strCache>
            </c:strRef>
          </c:cat>
          <c:val>
            <c:numRef>
              <c:f>PivotTable!$E$31:$E$34</c:f>
              <c:numCache>
                <c:formatCode>General</c:formatCode>
                <c:ptCount val="3"/>
                <c:pt idx="0">
                  <c:v>2514335.38</c:v>
                </c:pt>
                <c:pt idx="1">
                  <c:v>1892106.69</c:v>
                </c:pt>
                <c:pt idx="2">
                  <c:v>1537455.0599999996</c:v>
                </c:pt>
              </c:numCache>
            </c:numRef>
          </c:val>
          <c:extLst>
            <c:ext xmlns:c16="http://schemas.microsoft.com/office/drawing/2014/chart" uri="{C3380CC4-5D6E-409C-BE32-E72D297353CC}">
              <c16:uniqueId val="{00000000-60B8-4991-A71C-E110A8658CFD}"/>
            </c:ext>
          </c:extLst>
        </c:ser>
        <c:dLbls>
          <c:dLblPos val="outEnd"/>
          <c:showLegendKey val="0"/>
          <c:showVal val="1"/>
          <c:showCatName val="0"/>
          <c:showSerName val="0"/>
          <c:showPercent val="0"/>
          <c:showBubbleSize val="0"/>
        </c:dLbls>
        <c:gapWidth val="182"/>
        <c:axId val="505306160"/>
        <c:axId val="505319120"/>
      </c:barChart>
      <c:catAx>
        <c:axId val="505306160"/>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IN" sz="1000" b="1" i="0" u="none" strike="noStrike" kern="1200" baseline="0">
                    <a:solidFill>
                      <a:sysClr val="windowText" lastClr="000000"/>
                    </a:solidFill>
                  </a:rPr>
                  <a:t>Suppliers</a:t>
                </a:r>
              </a:p>
            </c:rich>
          </c:tx>
          <c:layout>
            <c:manualLayout>
              <c:xMode val="edge"/>
              <c:yMode val="edge"/>
              <c:x val="0.52399891873756388"/>
              <c:y val="0.87758455889231124"/>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05319120"/>
        <c:crosses val="autoZero"/>
        <c:auto val="1"/>
        <c:lblAlgn val="ctr"/>
        <c:lblOffset val="100"/>
        <c:noMultiLvlLbl val="0"/>
      </c:catAx>
      <c:valAx>
        <c:axId val="505319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Stock</a:t>
                </a:r>
                <a:r>
                  <a:rPr lang="en-IN" b="1" baseline="0">
                    <a:solidFill>
                      <a:sysClr val="windowText" lastClr="000000"/>
                    </a:solidFill>
                  </a:rPr>
                  <a:t> Value</a:t>
                </a:r>
                <a:endParaRPr lang="en-IN" b="1">
                  <a:solidFill>
                    <a:sysClr val="windowText" lastClr="000000"/>
                  </a:solidFill>
                </a:endParaRPr>
              </a:p>
            </c:rich>
          </c:tx>
          <c:layout>
            <c:manualLayout>
              <c:xMode val="edge"/>
              <c:yMode val="edge"/>
              <c:x val="2.3730471669595431E-2"/>
              <c:y val="0.3094561222389844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05306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Copy.xlsm]PivotTable!PivotTable13</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Restock</a:t>
            </a:r>
            <a:r>
              <a:rPr lang="en-US" sz="1600" b="1" baseline="0">
                <a:solidFill>
                  <a:sysClr val="windowText" lastClr="000000"/>
                </a:solidFill>
              </a:rPr>
              <a:t> Qty Needed by Supplier</a:t>
            </a:r>
            <a:endParaRPr lang="en-US" sz="1600" b="1">
              <a:solidFill>
                <a:sysClr val="windowText" lastClr="000000"/>
              </a:solidFill>
            </a:endParaRPr>
          </a:p>
        </c:rich>
      </c:tx>
      <c:layout>
        <c:manualLayout>
          <c:xMode val="edge"/>
          <c:yMode val="edge"/>
          <c:x val="0.35699668462494821"/>
          <c:y val="7.68693190827865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4945399917115629E-2"/>
          <c:y val="0.27348434567298208"/>
          <c:w val="0.79687007874015747"/>
          <c:h val="0.49720349417176823"/>
        </c:manualLayout>
      </c:layout>
      <c:lineChart>
        <c:grouping val="standard"/>
        <c:varyColors val="0"/>
        <c:ser>
          <c:idx val="0"/>
          <c:order val="0"/>
          <c:tx>
            <c:strRef>
              <c:f>PivotTable!$H$30:$H$31</c:f>
              <c:strCache>
                <c:ptCount val="1"/>
                <c:pt idx="0">
                  <c:v>Below Reorder</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PivotTable!$G$32:$G$35</c:f>
              <c:strCache>
                <c:ptCount val="3"/>
                <c:pt idx="0">
                  <c:v>Supplier X</c:v>
                </c:pt>
                <c:pt idx="1">
                  <c:v>Supplier Y</c:v>
                </c:pt>
                <c:pt idx="2">
                  <c:v>Supplier Z</c:v>
                </c:pt>
              </c:strCache>
            </c:strRef>
          </c:cat>
          <c:val>
            <c:numRef>
              <c:f>PivotTable!$H$32:$H$35</c:f>
              <c:numCache>
                <c:formatCode>General</c:formatCode>
                <c:ptCount val="3"/>
                <c:pt idx="0">
                  <c:v>858</c:v>
                </c:pt>
                <c:pt idx="1">
                  <c:v>1024</c:v>
                </c:pt>
                <c:pt idx="2">
                  <c:v>689</c:v>
                </c:pt>
              </c:numCache>
            </c:numRef>
          </c:val>
          <c:smooth val="0"/>
          <c:extLst>
            <c:ext xmlns:c16="http://schemas.microsoft.com/office/drawing/2014/chart" uri="{C3380CC4-5D6E-409C-BE32-E72D297353CC}">
              <c16:uniqueId val="{00000000-3846-48B0-AFF2-FC9B745959CB}"/>
            </c:ext>
          </c:extLst>
        </c:ser>
        <c:ser>
          <c:idx val="1"/>
          <c:order val="1"/>
          <c:tx>
            <c:strRef>
              <c:f>PivotTable!$I$30:$I$31</c:f>
              <c:strCache>
                <c:ptCount val="1"/>
                <c:pt idx="0">
                  <c:v>Sufficient</c:v>
                </c:pt>
              </c:strCache>
            </c:strRef>
          </c:tx>
          <c:spPr>
            <a:ln w="28575" cap="rnd">
              <a:solidFill>
                <a:schemeClr val="accent2"/>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PivotTable!$G$32:$G$35</c:f>
              <c:strCache>
                <c:ptCount val="3"/>
                <c:pt idx="0">
                  <c:v>Supplier X</c:v>
                </c:pt>
                <c:pt idx="1">
                  <c:v>Supplier Y</c:v>
                </c:pt>
                <c:pt idx="2">
                  <c:v>Supplier Z</c:v>
                </c:pt>
              </c:strCache>
            </c:strRef>
          </c:cat>
          <c:val>
            <c:numRef>
              <c:f>PivotTable!$I$32:$I$35</c:f>
              <c:numCache>
                <c:formatCode>General</c:formatCode>
                <c:ptCount val="3"/>
                <c:pt idx="0">
                  <c:v>9056</c:v>
                </c:pt>
                <c:pt idx="1">
                  <c:v>7714</c:v>
                </c:pt>
                <c:pt idx="2">
                  <c:v>5061</c:v>
                </c:pt>
              </c:numCache>
            </c:numRef>
          </c:val>
          <c:smooth val="0"/>
          <c:extLst>
            <c:ext xmlns:c16="http://schemas.microsoft.com/office/drawing/2014/chart" uri="{C3380CC4-5D6E-409C-BE32-E72D297353CC}">
              <c16:uniqueId val="{00000003-DAA7-4158-A65F-49C3C551CB51}"/>
            </c:ext>
          </c:extLst>
        </c:ser>
        <c:dLbls>
          <c:dLblPos val="t"/>
          <c:showLegendKey val="0"/>
          <c:showVal val="1"/>
          <c:showCatName val="0"/>
          <c:showSerName val="0"/>
          <c:showPercent val="0"/>
          <c:showBubbleSize val="0"/>
        </c:dLbls>
        <c:smooth val="0"/>
        <c:axId val="505281680"/>
        <c:axId val="505283120"/>
      </c:lineChart>
      <c:catAx>
        <c:axId val="50528168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Suppliers</a:t>
                </a:r>
              </a:p>
            </c:rich>
          </c:tx>
          <c:layout>
            <c:manualLayout>
              <c:xMode val="edge"/>
              <c:yMode val="edge"/>
              <c:x val="0.46938043928719436"/>
              <c:y val="0.85680212212031059"/>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05283120"/>
        <c:crosses val="autoZero"/>
        <c:auto val="1"/>
        <c:lblAlgn val="ctr"/>
        <c:lblOffset val="100"/>
        <c:noMultiLvlLbl val="0"/>
      </c:catAx>
      <c:valAx>
        <c:axId val="5052831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IN" sz="1000" b="1" i="0" u="none" strike="noStrike" kern="1200" baseline="0">
                    <a:solidFill>
                      <a:sysClr val="windowText" lastClr="000000"/>
                    </a:solidFill>
                  </a:rPr>
                  <a:t>Restock Qty Needed</a:t>
                </a:r>
              </a:p>
            </c:rich>
          </c:tx>
          <c:layout>
            <c:manualLayout>
              <c:xMode val="edge"/>
              <c:yMode val="edge"/>
              <c:x val="1.1842105263157895E-2"/>
              <c:y val="0.22885621527977576"/>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505281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Total Stock Quantity by Category</a:t>
            </a:r>
          </a:p>
        </c:rich>
      </c:tx>
      <c:layout>
        <c:manualLayout>
          <c:xMode val="edge"/>
          <c:yMode val="edge"/>
          <c:x val="0.25076629929421806"/>
          <c:y val="8.9534993645158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902537054821319"/>
          <c:y val="0.29360923500309866"/>
          <c:w val="0.82258075334217462"/>
          <c:h val="0.46036910601556674"/>
        </c:manualLayout>
      </c:layout>
      <c:barChart>
        <c:barDir val="col"/>
        <c:grouping val="clustered"/>
        <c:varyColors val="0"/>
        <c:ser>
          <c:idx val="0"/>
          <c:order val="0"/>
          <c:tx>
            <c:strRef>
              <c:f>PivotTable!$K$30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PivotTable!$J$31:$J$34</c:f>
              <c:strCache>
                <c:ptCount val="3"/>
                <c:pt idx="0">
                  <c:v>Category A</c:v>
                </c:pt>
                <c:pt idx="1">
                  <c:v>Category B</c:v>
                </c:pt>
                <c:pt idx="2">
                  <c:v>Category C</c:v>
                </c:pt>
              </c:strCache>
            </c:strRef>
          </c:cat>
          <c:val>
            <c:numRef>
              <c:f>PivotTable!$K$31:$K$34</c:f>
              <c:numCache>
                <c:formatCode>General</c:formatCode>
                <c:ptCount val="3"/>
                <c:pt idx="0">
                  <c:v>7868</c:v>
                </c:pt>
                <c:pt idx="1">
                  <c:v>9048</c:v>
                </c:pt>
                <c:pt idx="2">
                  <c:v>7486</c:v>
                </c:pt>
              </c:numCache>
            </c:numRef>
          </c:val>
          <c:extLst>
            <c:ext xmlns:c16="http://schemas.microsoft.com/office/drawing/2014/chart" uri="{C3380CC4-5D6E-409C-BE32-E72D297353CC}">
              <c16:uniqueId val="{00000000-BB78-4293-AB69-33B79FC462A8}"/>
            </c:ext>
          </c:extLst>
        </c:ser>
        <c:dLbls>
          <c:dLblPos val="outEnd"/>
          <c:showLegendKey val="0"/>
          <c:showVal val="1"/>
          <c:showCatName val="0"/>
          <c:showSerName val="0"/>
          <c:showPercent val="0"/>
          <c:showBubbleSize val="0"/>
        </c:dLbls>
        <c:gapWidth val="219"/>
        <c:overlap val="-27"/>
        <c:axId val="1422009632"/>
        <c:axId val="1422012512"/>
      </c:barChart>
      <c:catAx>
        <c:axId val="1422009632"/>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b="1">
                    <a:solidFill>
                      <a:sysClr val="windowText" lastClr="000000"/>
                    </a:solidFill>
                  </a:rPr>
                  <a:t>Categorys</a:t>
                </a:r>
              </a:p>
            </c:rich>
          </c:tx>
          <c:layout>
            <c:manualLayout>
              <c:xMode val="edge"/>
              <c:yMode val="edge"/>
              <c:x val="0.50119195337469447"/>
              <c:y val="0.85235633330882443"/>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22012512"/>
        <c:crosses val="autoZero"/>
        <c:auto val="1"/>
        <c:lblAlgn val="ctr"/>
        <c:lblOffset val="100"/>
        <c:noMultiLvlLbl val="0"/>
      </c:catAx>
      <c:valAx>
        <c:axId val="14220125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b="1">
                    <a:solidFill>
                      <a:sysClr val="windowText" lastClr="000000"/>
                    </a:solidFill>
                  </a:rPr>
                  <a:t>Stock Quantity</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2200963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Copy.xlsm]PivotTable!PivotTable15</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Total Stock Value by</a:t>
            </a:r>
            <a:r>
              <a:rPr lang="en-US" sz="1600" b="1" baseline="0">
                <a:solidFill>
                  <a:sysClr val="windowText" lastClr="000000"/>
                </a:solidFill>
              </a:rPr>
              <a:t> Category</a:t>
            </a:r>
            <a:endParaRPr lang="en-US" sz="1600" b="1">
              <a:solidFill>
                <a:sysClr val="windowText" lastClr="000000"/>
              </a:solidFill>
            </a:endParaRPr>
          </a:p>
        </c:rich>
      </c:tx>
      <c:layout>
        <c:manualLayout>
          <c:xMode val="edge"/>
          <c:yMode val="edge"/>
          <c:x val="0.26435564459543504"/>
          <c:y val="7.91760627604226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313082904385999"/>
          <c:y val="0.29477454858676844"/>
          <c:w val="0.78692965435181694"/>
          <c:h val="0.44751306173033234"/>
        </c:manualLayout>
      </c:layout>
      <c:barChart>
        <c:barDir val="col"/>
        <c:grouping val="clustered"/>
        <c:varyColors val="0"/>
        <c:ser>
          <c:idx val="0"/>
          <c:order val="0"/>
          <c:tx>
            <c:strRef>
              <c:f>PivotTable!$N$30</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PivotTable!$M$31:$M$34</c:f>
              <c:strCache>
                <c:ptCount val="3"/>
                <c:pt idx="0">
                  <c:v>Category A</c:v>
                </c:pt>
                <c:pt idx="1">
                  <c:v>Category B</c:v>
                </c:pt>
                <c:pt idx="2">
                  <c:v>Category C</c:v>
                </c:pt>
              </c:strCache>
            </c:strRef>
          </c:cat>
          <c:val>
            <c:numRef>
              <c:f>PivotTable!$N$31:$N$34</c:f>
              <c:numCache>
                <c:formatCode>General</c:formatCode>
                <c:ptCount val="3"/>
                <c:pt idx="0">
                  <c:v>1967566.4199999995</c:v>
                </c:pt>
                <c:pt idx="1">
                  <c:v>2307882.8099999996</c:v>
                </c:pt>
                <c:pt idx="2">
                  <c:v>1668447.8999999997</c:v>
                </c:pt>
              </c:numCache>
            </c:numRef>
          </c:val>
          <c:extLst>
            <c:ext xmlns:c16="http://schemas.microsoft.com/office/drawing/2014/chart" uri="{C3380CC4-5D6E-409C-BE32-E72D297353CC}">
              <c16:uniqueId val="{00000000-3F82-4953-BD72-390A248E3D92}"/>
            </c:ext>
          </c:extLst>
        </c:ser>
        <c:dLbls>
          <c:dLblPos val="outEnd"/>
          <c:showLegendKey val="0"/>
          <c:showVal val="1"/>
          <c:showCatName val="0"/>
          <c:showSerName val="0"/>
          <c:showPercent val="0"/>
          <c:showBubbleSize val="0"/>
        </c:dLbls>
        <c:gapWidth val="219"/>
        <c:overlap val="-27"/>
        <c:axId val="1422000512"/>
        <c:axId val="1422028832"/>
      </c:barChart>
      <c:catAx>
        <c:axId val="1422000512"/>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b="1">
                    <a:solidFill>
                      <a:sysClr val="windowText" lastClr="000000"/>
                    </a:solidFill>
                  </a:rPr>
                  <a:t>Categorys</a:t>
                </a:r>
              </a:p>
            </c:rich>
          </c:tx>
          <c:layout>
            <c:manualLayout>
              <c:xMode val="edge"/>
              <c:yMode val="edge"/>
              <c:x val="0.51697508440714823"/>
              <c:y val="0.8196274802102026"/>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22028832"/>
        <c:crosses val="autoZero"/>
        <c:auto val="1"/>
        <c:lblAlgn val="ctr"/>
        <c:lblOffset val="100"/>
        <c:noMultiLvlLbl val="0"/>
      </c:catAx>
      <c:valAx>
        <c:axId val="14220288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b="1">
                    <a:solidFill>
                      <a:sysClr val="windowText" lastClr="000000"/>
                    </a:solidFill>
                  </a:rPr>
                  <a:t>Stock</a:t>
                </a:r>
                <a:r>
                  <a:rPr lang="en-IN" b="1" baseline="0">
                    <a:solidFill>
                      <a:sysClr val="windowText" lastClr="000000"/>
                    </a:solidFill>
                  </a:rPr>
                  <a:t> Value</a:t>
                </a:r>
                <a:endParaRPr lang="en-IN"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22000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Avg.Stock</a:t>
            </a:r>
            <a:r>
              <a:rPr lang="en-US" sz="1600" b="1" baseline="0">
                <a:solidFill>
                  <a:sysClr val="windowText" lastClr="000000"/>
                </a:solidFill>
              </a:rPr>
              <a:t> Value by Category </a:t>
            </a:r>
            <a:endParaRPr lang="en-US" sz="1600" b="1">
              <a:solidFill>
                <a:sysClr val="windowText" lastClr="000000"/>
              </a:solidFill>
            </a:endParaRPr>
          </a:p>
        </c:rich>
      </c:tx>
      <c:layout>
        <c:manualLayout>
          <c:xMode val="edge"/>
          <c:yMode val="edge"/>
          <c:x val="0.41416255417042258"/>
          <c:y val="4.89767375870325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c:spPr>
        <c:dLbl>
          <c:idx val="0"/>
          <c:layout>
            <c:manualLayout>
              <c:x val="-2.5000000000000001E-2"/>
              <c:y val="-0.1990740740740740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
        <c:spPr>
          <a:solidFill>
            <a:schemeClr val="accent1"/>
          </a:solidFill>
          <a:ln>
            <a:noFill/>
          </a:ln>
          <a:effectLst/>
        </c:spPr>
        <c:dLbl>
          <c:idx val="0"/>
          <c:layout>
            <c:manualLayout>
              <c:x val="5.5555555555555558E-3"/>
              <c:y val="-0.2916666666666666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3"/>
        <c:spPr>
          <a:solidFill>
            <a:schemeClr val="accent1"/>
          </a:solidFill>
          <a:ln>
            <a:noFill/>
          </a:ln>
          <a:effectLst/>
        </c:spPr>
        <c:dLbl>
          <c:idx val="0"/>
          <c:layout>
            <c:manualLayout>
              <c:x val="5.8333333333333334E-2"/>
              <c:y val="-0.236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4"/>
        <c:spPr>
          <a:solidFill>
            <a:schemeClr val="accent1"/>
          </a:solidFill>
          <a:ln>
            <a:no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olidFill>
          <a:ln>
            <a:noFill/>
          </a:ln>
          <a:effectLst/>
        </c:spPr>
        <c:dLbl>
          <c:idx val="0"/>
          <c:layout>
            <c:manualLayout>
              <c:x val="5.8333333333333334E-2"/>
              <c:y val="-0.236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6"/>
        <c:spPr>
          <a:solidFill>
            <a:schemeClr val="accent1"/>
          </a:solidFill>
          <a:ln>
            <a:noFill/>
          </a:ln>
          <a:effectLst/>
        </c:spPr>
        <c:dLbl>
          <c:idx val="0"/>
          <c:layout>
            <c:manualLayout>
              <c:x val="5.5555555555555558E-3"/>
              <c:y val="-0.2916666666666666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c:spPr>
        <c:dLbl>
          <c:idx val="0"/>
          <c:layout>
            <c:manualLayout>
              <c:x val="-2.5000000000000001E-2"/>
              <c:y val="-0.1990740740740740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8"/>
        <c:spPr>
          <a:solidFill>
            <a:schemeClr val="accent1"/>
          </a:solidFill>
          <a:ln>
            <a:noFill/>
          </a:ln>
          <a:effectLst/>
        </c:spPr>
        <c:marker>
          <c:symbol val="none"/>
        </c:marker>
        <c:dLbl>
          <c:idx val="0"/>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9"/>
        <c:spPr>
          <a:solidFill>
            <a:schemeClr val="accent1"/>
          </a:solidFill>
          <a:ln>
            <a:noFill/>
          </a:ln>
          <a:effectLst/>
        </c:spPr>
        <c:dLbl>
          <c:idx val="0"/>
          <c:layout>
            <c:manualLayout>
              <c:x val="5.8333333333333334E-2"/>
              <c:y val="-0.2361111111111111"/>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0"/>
        <c:spPr>
          <a:solidFill>
            <a:schemeClr val="accent1"/>
          </a:solidFill>
          <a:ln>
            <a:noFill/>
          </a:ln>
          <a:effectLst/>
        </c:spPr>
        <c:dLbl>
          <c:idx val="0"/>
          <c:layout>
            <c:manualLayout>
              <c:x val="5.5555555555555558E-3"/>
              <c:y val="-0.29166666666666669"/>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1"/>
        <c:spPr>
          <a:solidFill>
            <a:schemeClr val="accent1"/>
          </a:solidFill>
          <a:ln>
            <a:noFill/>
          </a:ln>
          <a:effectLst/>
        </c:spPr>
        <c:dLbl>
          <c:idx val="0"/>
          <c:layout>
            <c:manualLayout>
              <c:x val="-2.5000000000000001E-2"/>
              <c:y val="-0.19907407407407407"/>
            </c:manualLayout>
          </c:layout>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s>
    <c:plotArea>
      <c:layout>
        <c:manualLayout>
          <c:layoutTarget val="inner"/>
          <c:xMode val="edge"/>
          <c:yMode val="edge"/>
          <c:x val="7.7140006626364055E-2"/>
          <c:y val="0.30695544346788683"/>
          <c:w val="0.88065102732966327"/>
          <c:h val="0.43026129858195866"/>
        </c:manualLayout>
      </c:layout>
      <c:areaChart>
        <c:grouping val="standard"/>
        <c:varyColors val="0"/>
        <c:ser>
          <c:idx val="0"/>
          <c:order val="0"/>
          <c:tx>
            <c:strRef>
              <c:f>PivotTable!$Q$30</c:f>
              <c:strCache>
                <c:ptCount val="1"/>
                <c:pt idx="0">
                  <c:v>Total</c:v>
                </c:pt>
              </c:strCache>
            </c:strRef>
          </c:tx>
          <c:spPr>
            <a:solidFill>
              <a:schemeClr val="accent1"/>
            </a:solidFill>
            <a:ln>
              <a:noFill/>
            </a:ln>
            <a:effectLst/>
          </c:spPr>
          <c:dPt>
            <c:idx val="0"/>
            <c:bubble3D val="0"/>
            <c:extLst>
              <c:ext xmlns:c16="http://schemas.microsoft.com/office/drawing/2014/chart" uri="{C3380CC4-5D6E-409C-BE32-E72D297353CC}">
                <c16:uniqueId val="{00000000-666F-43A2-99E7-295EE88A6990}"/>
              </c:ext>
            </c:extLst>
          </c:dPt>
          <c:dPt>
            <c:idx val="1"/>
            <c:bubble3D val="0"/>
            <c:extLst>
              <c:ext xmlns:c16="http://schemas.microsoft.com/office/drawing/2014/chart" uri="{C3380CC4-5D6E-409C-BE32-E72D297353CC}">
                <c16:uniqueId val="{00000001-666F-43A2-99E7-295EE88A6990}"/>
              </c:ext>
            </c:extLst>
          </c:dPt>
          <c:dPt>
            <c:idx val="2"/>
            <c:bubble3D val="0"/>
            <c:extLst>
              <c:ext xmlns:c16="http://schemas.microsoft.com/office/drawing/2014/chart" uri="{C3380CC4-5D6E-409C-BE32-E72D297353CC}">
                <c16:uniqueId val="{00000002-666F-43A2-99E7-295EE88A6990}"/>
              </c:ext>
            </c:extLst>
          </c:dPt>
          <c:dLbls>
            <c:dLbl>
              <c:idx val="0"/>
              <c:layout>
                <c:manualLayout>
                  <c:x val="5.8333333333333334E-2"/>
                  <c:y val="-0.2361111111111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66F-43A2-99E7-295EE88A6990}"/>
                </c:ext>
              </c:extLst>
            </c:dLbl>
            <c:dLbl>
              <c:idx val="1"/>
              <c:layout>
                <c:manualLayout>
                  <c:x val="5.5555555555555558E-3"/>
                  <c:y val="-0.291666666666666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66F-43A2-99E7-295EE88A6990}"/>
                </c:ext>
              </c:extLst>
            </c:dLbl>
            <c:dLbl>
              <c:idx val="2"/>
              <c:layout>
                <c:manualLayout>
                  <c:x val="-2.5000000000000001E-2"/>
                  <c:y val="-0.1990740740740740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66F-43A2-99E7-295EE88A6990}"/>
                </c:ext>
              </c:extLst>
            </c:dLbl>
            <c:numFmt formatCode="#,##0.00" sourceLinked="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PivotTable!$P$31:$P$34</c:f>
              <c:strCache>
                <c:ptCount val="3"/>
                <c:pt idx="0">
                  <c:v>Category A</c:v>
                </c:pt>
                <c:pt idx="1">
                  <c:v>Category B</c:v>
                </c:pt>
                <c:pt idx="2">
                  <c:v>Category C</c:v>
                </c:pt>
              </c:strCache>
            </c:strRef>
          </c:cat>
          <c:val>
            <c:numRef>
              <c:f>PivotTable!$Q$31:$Q$34</c:f>
              <c:numCache>
                <c:formatCode>General</c:formatCode>
                <c:ptCount val="3"/>
                <c:pt idx="0">
                  <c:v>59623.224848484831</c:v>
                </c:pt>
                <c:pt idx="1">
                  <c:v>64107.85583333332</c:v>
                </c:pt>
                <c:pt idx="2">
                  <c:v>53820.899999999987</c:v>
                </c:pt>
              </c:numCache>
            </c:numRef>
          </c:val>
          <c:extLst>
            <c:ext xmlns:c16="http://schemas.microsoft.com/office/drawing/2014/chart" uri="{C3380CC4-5D6E-409C-BE32-E72D297353CC}">
              <c16:uniqueId val="{00000003-666F-43A2-99E7-295EE88A6990}"/>
            </c:ext>
          </c:extLst>
        </c:ser>
        <c:dLbls>
          <c:showLegendKey val="0"/>
          <c:showVal val="0"/>
          <c:showCatName val="0"/>
          <c:showSerName val="0"/>
          <c:showPercent val="0"/>
          <c:showBubbleSize val="0"/>
        </c:dLbls>
        <c:axId val="1041807024"/>
        <c:axId val="1041807504"/>
      </c:areaChart>
      <c:catAx>
        <c:axId val="1041807024"/>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US" b="1">
                    <a:solidFill>
                      <a:sysClr val="windowText" lastClr="000000"/>
                    </a:solidFill>
                  </a:rPr>
                  <a:t>Categorys</a:t>
                </a:r>
              </a:p>
            </c:rich>
          </c:tx>
          <c:layout>
            <c:manualLayout>
              <c:xMode val="edge"/>
              <c:yMode val="edge"/>
              <c:x val="0.48759326669500624"/>
              <c:y val="0.86238063841946133"/>
            </c:manualLayout>
          </c:layout>
          <c:overlay val="0"/>
          <c:spPr>
            <a:noFill/>
            <a:ln>
              <a:noFill/>
            </a:ln>
            <a:effectLst/>
          </c:spPr>
          <c:txPr>
            <a:bodyPr rot="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41807504"/>
        <c:crosses val="autoZero"/>
        <c:auto val="1"/>
        <c:lblAlgn val="ctr"/>
        <c:lblOffset val="100"/>
        <c:noMultiLvlLbl val="0"/>
      </c:catAx>
      <c:valAx>
        <c:axId val="10418075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r>
                  <a:rPr lang="en-IN" b="1">
                    <a:solidFill>
                      <a:sysClr val="windowText" lastClr="000000"/>
                    </a:solidFill>
                  </a:rPr>
                  <a:t>Avg.Stock</a:t>
                </a:r>
                <a:r>
                  <a:rPr lang="en-IN" b="1" baseline="0">
                    <a:solidFill>
                      <a:sysClr val="windowText" lastClr="000000"/>
                    </a:solidFill>
                  </a:rPr>
                  <a:t> Value</a:t>
                </a:r>
                <a:endParaRPr lang="en-IN"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041807024"/>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Copy.xlsm]PivotTable!PivotTable17</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ysClr val="windowText" lastClr="000000"/>
                </a:solidFill>
              </a:rPr>
              <a:t>Recently</a:t>
            </a:r>
            <a:r>
              <a:rPr lang="en-IN" sz="1600" b="1" baseline="0">
                <a:solidFill>
                  <a:sysClr val="windowText" lastClr="000000"/>
                </a:solidFill>
              </a:rPr>
              <a:t> Ordered Qty by Item Name</a:t>
            </a:r>
            <a:endParaRPr lang="en-IN" sz="1600" b="1">
              <a:solidFill>
                <a:sysClr val="windowText" lastClr="000000"/>
              </a:solidFill>
            </a:endParaRPr>
          </a:p>
        </c:rich>
      </c:tx>
      <c:layout>
        <c:manualLayout>
          <c:xMode val="edge"/>
          <c:yMode val="edge"/>
          <c:x val="0.35909045505373177"/>
          <c:y val="3.75096878244250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587366895899352E-2"/>
          <c:y val="0.19486522433712195"/>
          <c:w val="0.91968080453206935"/>
          <c:h val="0.38215096494869966"/>
        </c:manualLayout>
      </c:layout>
      <c:barChart>
        <c:barDir val="col"/>
        <c:grouping val="clustered"/>
        <c:varyColors val="0"/>
        <c:ser>
          <c:idx val="0"/>
          <c:order val="0"/>
          <c:tx>
            <c:strRef>
              <c:f>PivotTable!$B$57</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PivotTable!$A$58:$A$108</c:f>
              <c:strCache>
                <c:ptCount val="50"/>
                <c:pt idx="0">
                  <c:v>Electronics Item 61</c:v>
                </c:pt>
                <c:pt idx="1">
                  <c:v>Electronics Item 19</c:v>
                </c:pt>
                <c:pt idx="2">
                  <c:v>Electronics Item 4</c:v>
                </c:pt>
                <c:pt idx="3">
                  <c:v>Electronics Item 57</c:v>
                </c:pt>
                <c:pt idx="4">
                  <c:v>Electronics Item 84</c:v>
                </c:pt>
                <c:pt idx="5">
                  <c:v>Electronics Item 91</c:v>
                </c:pt>
                <c:pt idx="6">
                  <c:v>Electronics Item 65</c:v>
                </c:pt>
                <c:pt idx="7">
                  <c:v>Electronics Item 86</c:v>
                </c:pt>
                <c:pt idx="8">
                  <c:v>Electronics Item 11</c:v>
                </c:pt>
                <c:pt idx="9">
                  <c:v>Electronics Item 67</c:v>
                </c:pt>
                <c:pt idx="10">
                  <c:v>Electronics Item 18</c:v>
                </c:pt>
                <c:pt idx="11">
                  <c:v>Electronics Item 20</c:v>
                </c:pt>
                <c:pt idx="12">
                  <c:v>Electronics Item 22</c:v>
                </c:pt>
                <c:pt idx="13">
                  <c:v>Electronics Item 83</c:v>
                </c:pt>
                <c:pt idx="14">
                  <c:v>Electronics Item 2</c:v>
                </c:pt>
                <c:pt idx="15">
                  <c:v>Electronics Item 38</c:v>
                </c:pt>
                <c:pt idx="16">
                  <c:v>Electronics Item 81</c:v>
                </c:pt>
                <c:pt idx="17">
                  <c:v>Electronics Item 9</c:v>
                </c:pt>
                <c:pt idx="18">
                  <c:v>Electronics Item 80</c:v>
                </c:pt>
                <c:pt idx="19">
                  <c:v>Electronics Item 1</c:v>
                </c:pt>
                <c:pt idx="20">
                  <c:v>Electronics Item 33</c:v>
                </c:pt>
                <c:pt idx="21">
                  <c:v>Electronics Item 43</c:v>
                </c:pt>
                <c:pt idx="22">
                  <c:v>Electronics Item 29</c:v>
                </c:pt>
                <c:pt idx="23">
                  <c:v>Electronics Item 90</c:v>
                </c:pt>
                <c:pt idx="24">
                  <c:v>Electronics Item 100</c:v>
                </c:pt>
                <c:pt idx="25">
                  <c:v>Electronics Item 54</c:v>
                </c:pt>
                <c:pt idx="26">
                  <c:v>Electronics Item 69</c:v>
                </c:pt>
                <c:pt idx="27">
                  <c:v>Electronics Item 27</c:v>
                </c:pt>
                <c:pt idx="28">
                  <c:v>Electronics Item 58</c:v>
                </c:pt>
                <c:pt idx="29">
                  <c:v>Electronics Item 16</c:v>
                </c:pt>
                <c:pt idx="30">
                  <c:v>Electronics Item 30</c:v>
                </c:pt>
                <c:pt idx="31">
                  <c:v>Electronics Item 24</c:v>
                </c:pt>
                <c:pt idx="32">
                  <c:v>Electronics Item 77</c:v>
                </c:pt>
                <c:pt idx="33">
                  <c:v>Electronics Item 17</c:v>
                </c:pt>
                <c:pt idx="34">
                  <c:v>Electronics Item 5</c:v>
                </c:pt>
                <c:pt idx="35">
                  <c:v>Electronics Item 40</c:v>
                </c:pt>
                <c:pt idx="36">
                  <c:v>Electronics Item 71</c:v>
                </c:pt>
                <c:pt idx="37">
                  <c:v>Electronics Item 96</c:v>
                </c:pt>
                <c:pt idx="38">
                  <c:v>Electronics Item 63</c:v>
                </c:pt>
                <c:pt idx="39">
                  <c:v>Electronics Item 41</c:v>
                </c:pt>
                <c:pt idx="40">
                  <c:v>Electronics Item 34</c:v>
                </c:pt>
                <c:pt idx="41">
                  <c:v>Electronics Item 89</c:v>
                </c:pt>
                <c:pt idx="42">
                  <c:v>Electronics Item 48</c:v>
                </c:pt>
                <c:pt idx="43">
                  <c:v>Electronics Item 75</c:v>
                </c:pt>
                <c:pt idx="44">
                  <c:v>Electronics Item 28</c:v>
                </c:pt>
                <c:pt idx="45">
                  <c:v>Electronics Item 50</c:v>
                </c:pt>
                <c:pt idx="46">
                  <c:v>Electronics Item 47</c:v>
                </c:pt>
                <c:pt idx="47">
                  <c:v>Electronics Item 78</c:v>
                </c:pt>
                <c:pt idx="48">
                  <c:v>Electronics Item 51</c:v>
                </c:pt>
                <c:pt idx="49">
                  <c:v>Electronics Item 99</c:v>
                </c:pt>
              </c:strCache>
            </c:strRef>
          </c:cat>
          <c:val>
            <c:numRef>
              <c:f>PivotTable!$B$58:$B$108</c:f>
              <c:numCache>
                <c:formatCode>General</c:formatCode>
                <c:ptCount val="50"/>
                <c:pt idx="0">
                  <c:v>148</c:v>
                </c:pt>
                <c:pt idx="1">
                  <c:v>150</c:v>
                </c:pt>
                <c:pt idx="2">
                  <c:v>152</c:v>
                </c:pt>
                <c:pt idx="3">
                  <c:v>153</c:v>
                </c:pt>
                <c:pt idx="4">
                  <c:v>153</c:v>
                </c:pt>
                <c:pt idx="5">
                  <c:v>159</c:v>
                </c:pt>
                <c:pt idx="6">
                  <c:v>161</c:v>
                </c:pt>
                <c:pt idx="7">
                  <c:v>161</c:v>
                </c:pt>
                <c:pt idx="8">
                  <c:v>162</c:v>
                </c:pt>
                <c:pt idx="9">
                  <c:v>162</c:v>
                </c:pt>
                <c:pt idx="10">
                  <c:v>162</c:v>
                </c:pt>
                <c:pt idx="11">
                  <c:v>162</c:v>
                </c:pt>
                <c:pt idx="12">
                  <c:v>162</c:v>
                </c:pt>
                <c:pt idx="13">
                  <c:v>162</c:v>
                </c:pt>
                <c:pt idx="14">
                  <c:v>165</c:v>
                </c:pt>
                <c:pt idx="15">
                  <c:v>165</c:v>
                </c:pt>
                <c:pt idx="16">
                  <c:v>165</c:v>
                </c:pt>
                <c:pt idx="17">
                  <c:v>167</c:v>
                </c:pt>
                <c:pt idx="18">
                  <c:v>169</c:v>
                </c:pt>
                <c:pt idx="19">
                  <c:v>170</c:v>
                </c:pt>
                <c:pt idx="20">
                  <c:v>172</c:v>
                </c:pt>
                <c:pt idx="21">
                  <c:v>173</c:v>
                </c:pt>
                <c:pt idx="22">
                  <c:v>175</c:v>
                </c:pt>
                <c:pt idx="23">
                  <c:v>177</c:v>
                </c:pt>
                <c:pt idx="24">
                  <c:v>177</c:v>
                </c:pt>
                <c:pt idx="25">
                  <c:v>177</c:v>
                </c:pt>
                <c:pt idx="26">
                  <c:v>178</c:v>
                </c:pt>
                <c:pt idx="27">
                  <c:v>178</c:v>
                </c:pt>
                <c:pt idx="28">
                  <c:v>178</c:v>
                </c:pt>
                <c:pt idx="29">
                  <c:v>179</c:v>
                </c:pt>
                <c:pt idx="30">
                  <c:v>179</c:v>
                </c:pt>
                <c:pt idx="31">
                  <c:v>179</c:v>
                </c:pt>
                <c:pt idx="32">
                  <c:v>180</c:v>
                </c:pt>
                <c:pt idx="33">
                  <c:v>180</c:v>
                </c:pt>
                <c:pt idx="34">
                  <c:v>186</c:v>
                </c:pt>
                <c:pt idx="35">
                  <c:v>188</c:v>
                </c:pt>
                <c:pt idx="36">
                  <c:v>189</c:v>
                </c:pt>
                <c:pt idx="37">
                  <c:v>191</c:v>
                </c:pt>
                <c:pt idx="38">
                  <c:v>193</c:v>
                </c:pt>
                <c:pt idx="39">
                  <c:v>193</c:v>
                </c:pt>
                <c:pt idx="40">
                  <c:v>194</c:v>
                </c:pt>
                <c:pt idx="41">
                  <c:v>195</c:v>
                </c:pt>
                <c:pt idx="42">
                  <c:v>196</c:v>
                </c:pt>
                <c:pt idx="43">
                  <c:v>196</c:v>
                </c:pt>
                <c:pt idx="44">
                  <c:v>196</c:v>
                </c:pt>
                <c:pt idx="45">
                  <c:v>196</c:v>
                </c:pt>
                <c:pt idx="46">
                  <c:v>197</c:v>
                </c:pt>
                <c:pt idx="47">
                  <c:v>197</c:v>
                </c:pt>
                <c:pt idx="48">
                  <c:v>197</c:v>
                </c:pt>
                <c:pt idx="49">
                  <c:v>197</c:v>
                </c:pt>
              </c:numCache>
            </c:numRef>
          </c:val>
          <c:extLst>
            <c:ext xmlns:c16="http://schemas.microsoft.com/office/drawing/2014/chart" uri="{C3380CC4-5D6E-409C-BE32-E72D297353CC}">
              <c16:uniqueId val="{00000000-E320-4678-8F31-B0F48E59E048}"/>
            </c:ext>
          </c:extLst>
        </c:ser>
        <c:dLbls>
          <c:showLegendKey val="0"/>
          <c:showVal val="0"/>
          <c:showCatName val="0"/>
          <c:showSerName val="0"/>
          <c:showPercent val="0"/>
          <c:showBubbleSize val="0"/>
        </c:dLbls>
        <c:gapWidth val="219"/>
        <c:overlap val="-27"/>
        <c:axId val="1422054752"/>
        <c:axId val="1422055712"/>
      </c:barChart>
      <c:catAx>
        <c:axId val="142205475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Item</a:t>
                </a:r>
                <a:r>
                  <a:rPr lang="en-IN" b="1" baseline="0">
                    <a:solidFill>
                      <a:sysClr val="windowText" lastClr="000000"/>
                    </a:solidFill>
                  </a:rPr>
                  <a:t> Names</a:t>
                </a:r>
                <a:endParaRPr lang="en-IN" b="1">
                  <a:solidFill>
                    <a:sysClr val="windowText" lastClr="000000"/>
                  </a:solidFill>
                </a:endParaRPr>
              </a:p>
            </c:rich>
          </c:tx>
          <c:layout>
            <c:manualLayout>
              <c:xMode val="edge"/>
              <c:yMode val="edge"/>
              <c:x val="0.4982740853045049"/>
              <c:y val="0.90209100172649115"/>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22055712"/>
        <c:crosses val="autoZero"/>
        <c:auto val="1"/>
        <c:lblAlgn val="ctr"/>
        <c:lblOffset val="100"/>
        <c:noMultiLvlLbl val="0"/>
      </c:catAx>
      <c:valAx>
        <c:axId val="142205571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Reorder</a:t>
                </a:r>
                <a:r>
                  <a:rPr lang="en-IN" b="1" baseline="0">
                    <a:solidFill>
                      <a:sysClr val="windowText" lastClr="000000"/>
                    </a:solidFill>
                  </a:rPr>
                  <a:t> Level</a:t>
                </a:r>
                <a:endParaRPr lang="en-IN"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22054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[Inventory Management System - Copy.xlsm]PivotTable!PivotTable18</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600" b="1">
                <a:solidFill>
                  <a:sysClr val="windowText" lastClr="000000"/>
                </a:solidFill>
              </a:rPr>
              <a:t>Available</a:t>
            </a:r>
            <a:r>
              <a:rPr lang="en-IN" sz="1600" b="1" baseline="0">
                <a:solidFill>
                  <a:sysClr val="windowText" lastClr="000000"/>
                </a:solidFill>
              </a:rPr>
              <a:t> Qty by Item Name(To be Ordered)</a:t>
            </a:r>
            <a:endParaRPr lang="en-IN" sz="1600" b="1">
              <a:solidFill>
                <a:sysClr val="windowText" lastClr="000000"/>
              </a:solidFill>
            </a:endParaRPr>
          </a:p>
        </c:rich>
      </c:tx>
      <c:layout>
        <c:manualLayout>
          <c:xMode val="edge"/>
          <c:yMode val="edge"/>
          <c:x val="0.34655522553356638"/>
          <c:y val="4.7409465990830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IN"/>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3776337382179887E-2"/>
          <c:y val="0.20533273578980984"/>
          <c:w val="0.92183412707535828"/>
          <c:h val="0.34200550970278304"/>
        </c:manualLayout>
      </c:layout>
      <c:barChart>
        <c:barDir val="col"/>
        <c:grouping val="clustered"/>
        <c:varyColors val="0"/>
        <c:ser>
          <c:idx val="0"/>
          <c:order val="0"/>
          <c:tx>
            <c:strRef>
              <c:f>PivotTable!$E$57</c:f>
              <c:strCache>
                <c:ptCount val="1"/>
                <c:pt idx="0">
                  <c:v>Total</c:v>
                </c:pt>
              </c:strCache>
            </c:strRef>
          </c:tx>
          <c:spPr>
            <a:solidFill>
              <a:schemeClr val="accent1"/>
            </a:solidFill>
            <a:ln>
              <a:noFill/>
            </a:ln>
            <a:effectLst/>
          </c:spPr>
          <c:invertIfNegative val="0"/>
          <c:trendline>
            <c:spPr>
              <a:ln w="19050" cap="rnd">
                <a:solidFill>
                  <a:schemeClr val="accent1"/>
                </a:solidFill>
                <a:prstDash val="sysDot"/>
              </a:ln>
              <a:effectLst/>
            </c:spPr>
            <c:trendlineType val="linear"/>
            <c:dispRSqr val="0"/>
            <c:dispEq val="0"/>
          </c:trendline>
          <c:cat>
            <c:strRef>
              <c:f>PivotTable!$D$58:$D$108</c:f>
              <c:strCache>
                <c:ptCount val="50"/>
                <c:pt idx="0">
                  <c:v>Electronics Item 56</c:v>
                </c:pt>
                <c:pt idx="1">
                  <c:v>Electronics Item 13</c:v>
                </c:pt>
                <c:pt idx="2">
                  <c:v>Electronics Item 64</c:v>
                </c:pt>
                <c:pt idx="3">
                  <c:v>Electronics Item 65</c:v>
                </c:pt>
                <c:pt idx="4">
                  <c:v>Electronics Item 57</c:v>
                </c:pt>
                <c:pt idx="5">
                  <c:v>Electronics Item 74</c:v>
                </c:pt>
                <c:pt idx="6">
                  <c:v>Electronics Item 42</c:v>
                </c:pt>
                <c:pt idx="7">
                  <c:v>Electronics Item 39</c:v>
                </c:pt>
                <c:pt idx="8">
                  <c:v>Electronics Item 11</c:v>
                </c:pt>
                <c:pt idx="9">
                  <c:v>Electronics Item 19</c:v>
                </c:pt>
                <c:pt idx="10">
                  <c:v>Electronics Item 45</c:v>
                </c:pt>
                <c:pt idx="11">
                  <c:v>Electronics Item 99</c:v>
                </c:pt>
                <c:pt idx="12">
                  <c:v>Electronics Item 76</c:v>
                </c:pt>
                <c:pt idx="13">
                  <c:v>Electronics Item 83</c:v>
                </c:pt>
                <c:pt idx="14">
                  <c:v>Electronics Item 88</c:v>
                </c:pt>
                <c:pt idx="15">
                  <c:v>Electronics Item 9</c:v>
                </c:pt>
                <c:pt idx="16">
                  <c:v>Electronics Item 26</c:v>
                </c:pt>
                <c:pt idx="17">
                  <c:v>Electronics Item 72</c:v>
                </c:pt>
                <c:pt idx="18">
                  <c:v>Electronics Item 18</c:v>
                </c:pt>
                <c:pt idx="19">
                  <c:v>Electronics Item 90</c:v>
                </c:pt>
                <c:pt idx="20">
                  <c:v>Electronics Item 87</c:v>
                </c:pt>
                <c:pt idx="21">
                  <c:v>Electronics Item 49</c:v>
                </c:pt>
                <c:pt idx="22">
                  <c:v>Electronics Item 92</c:v>
                </c:pt>
                <c:pt idx="23">
                  <c:v>Electronics Item 55</c:v>
                </c:pt>
                <c:pt idx="24">
                  <c:v>Electronics Item 44</c:v>
                </c:pt>
                <c:pt idx="25">
                  <c:v>Electronics Item 29</c:v>
                </c:pt>
                <c:pt idx="26">
                  <c:v>Electronics Item 98</c:v>
                </c:pt>
                <c:pt idx="27">
                  <c:v>Electronics Item 10</c:v>
                </c:pt>
                <c:pt idx="28">
                  <c:v>Electronics Item 51</c:v>
                </c:pt>
                <c:pt idx="29">
                  <c:v>Electronics Item 97</c:v>
                </c:pt>
                <c:pt idx="30">
                  <c:v>Electronics Item 60</c:v>
                </c:pt>
                <c:pt idx="31">
                  <c:v>Electronics Item 6</c:v>
                </c:pt>
                <c:pt idx="32">
                  <c:v>Electronics Item 46</c:v>
                </c:pt>
                <c:pt idx="33">
                  <c:v>Electronics Item 43</c:v>
                </c:pt>
                <c:pt idx="34">
                  <c:v>Electronics Item 63</c:v>
                </c:pt>
                <c:pt idx="35">
                  <c:v>Electronics Item 23</c:v>
                </c:pt>
                <c:pt idx="36">
                  <c:v>Electronics Item 20</c:v>
                </c:pt>
                <c:pt idx="37">
                  <c:v>Electronics Item 8</c:v>
                </c:pt>
                <c:pt idx="38">
                  <c:v>Electronics Item 36</c:v>
                </c:pt>
                <c:pt idx="39">
                  <c:v>Electronics Item 81</c:v>
                </c:pt>
                <c:pt idx="40">
                  <c:v>Electronics Item 100</c:v>
                </c:pt>
                <c:pt idx="41">
                  <c:v>Electronics Item 89</c:v>
                </c:pt>
                <c:pt idx="42">
                  <c:v>Electronics Item 33</c:v>
                </c:pt>
                <c:pt idx="43">
                  <c:v>Electronics Item 52</c:v>
                </c:pt>
                <c:pt idx="44">
                  <c:v>Electronics Item 37</c:v>
                </c:pt>
                <c:pt idx="45">
                  <c:v>Electronics Item 2</c:v>
                </c:pt>
                <c:pt idx="46">
                  <c:v>Electronics Item 93</c:v>
                </c:pt>
                <c:pt idx="47">
                  <c:v>Electronics Item 31</c:v>
                </c:pt>
                <c:pt idx="48">
                  <c:v>Electronics Item 62</c:v>
                </c:pt>
                <c:pt idx="49">
                  <c:v>Electronics Item 12</c:v>
                </c:pt>
              </c:strCache>
            </c:strRef>
          </c:cat>
          <c:val>
            <c:numRef>
              <c:f>PivotTable!$E$58:$E$108</c:f>
              <c:numCache>
                <c:formatCode>General</c:formatCode>
                <c:ptCount val="50"/>
                <c:pt idx="0">
                  <c:v>240</c:v>
                </c:pt>
                <c:pt idx="1">
                  <c:v>240</c:v>
                </c:pt>
                <c:pt idx="2">
                  <c:v>240</c:v>
                </c:pt>
                <c:pt idx="3">
                  <c:v>246</c:v>
                </c:pt>
                <c:pt idx="4">
                  <c:v>250</c:v>
                </c:pt>
                <c:pt idx="5">
                  <c:v>252</c:v>
                </c:pt>
                <c:pt idx="6">
                  <c:v>264</c:v>
                </c:pt>
                <c:pt idx="7">
                  <c:v>266</c:v>
                </c:pt>
                <c:pt idx="8">
                  <c:v>270</c:v>
                </c:pt>
                <c:pt idx="9">
                  <c:v>277</c:v>
                </c:pt>
                <c:pt idx="10">
                  <c:v>292</c:v>
                </c:pt>
                <c:pt idx="11">
                  <c:v>292</c:v>
                </c:pt>
                <c:pt idx="12">
                  <c:v>293</c:v>
                </c:pt>
                <c:pt idx="13">
                  <c:v>293</c:v>
                </c:pt>
                <c:pt idx="14">
                  <c:v>295</c:v>
                </c:pt>
                <c:pt idx="15">
                  <c:v>298</c:v>
                </c:pt>
                <c:pt idx="16">
                  <c:v>302</c:v>
                </c:pt>
                <c:pt idx="17">
                  <c:v>336</c:v>
                </c:pt>
                <c:pt idx="18">
                  <c:v>337</c:v>
                </c:pt>
                <c:pt idx="19">
                  <c:v>340</c:v>
                </c:pt>
                <c:pt idx="20">
                  <c:v>349</c:v>
                </c:pt>
                <c:pt idx="21">
                  <c:v>355</c:v>
                </c:pt>
                <c:pt idx="22">
                  <c:v>357</c:v>
                </c:pt>
                <c:pt idx="23">
                  <c:v>361</c:v>
                </c:pt>
                <c:pt idx="24">
                  <c:v>368</c:v>
                </c:pt>
                <c:pt idx="25">
                  <c:v>369</c:v>
                </c:pt>
                <c:pt idx="26">
                  <c:v>386</c:v>
                </c:pt>
                <c:pt idx="27">
                  <c:v>388</c:v>
                </c:pt>
                <c:pt idx="28">
                  <c:v>389</c:v>
                </c:pt>
                <c:pt idx="29">
                  <c:v>394</c:v>
                </c:pt>
                <c:pt idx="30">
                  <c:v>397</c:v>
                </c:pt>
                <c:pt idx="31">
                  <c:v>401</c:v>
                </c:pt>
                <c:pt idx="32">
                  <c:v>402</c:v>
                </c:pt>
                <c:pt idx="33">
                  <c:v>407</c:v>
                </c:pt>
                <c:pt idx="34">
                  <c:v>416</c:v>
                </c:pt>
                <c:pt idx="35">
                  <c:v>416</c:v>
                </c:pt>
                <c:pt idx="36">
                  <c:v>427</c:v>
                </c:pt>
                <c:pt idx="37">
                  <c:v>428</c:v>
                </c:pt>
                <c:pt idx="38">
                  <c:v>440</c:v>
                </c:pt>
                <c:pt idx="39">
                  <c:v>450</c:v>
                </c:pt>
                <c:pt idx="40">
                  <c:v>455</c:v>
                </c:pt>
                <c:pt idx="41">
                  <c:v>455</c:v>
                </c:pt>
                <c:pt idx="42">
                  <c:v>458</c:v>
                </c:pt>
                <c:pt idx="43">
                  <c:v>470</c:v>
                </c:pt>
                <c:pt idx="44">
                  <c:v>471</c:v>
                </c:pt>
                <c:pt idx="45">
                  <c:v>481</c:v>
                </c:pt>
                <c:pt idx="46">
                  <c:v>482</c:v>
                </c:pt>
                <c:pt idx="47">
                  <c:v>484</c:v>
                </c:pt>
                <c:pt idx="48">
                  <c:v>494</c:v>
                </c:pt>
                <c:pt idx="49">
                  <c:v>499</c:v>
                </c:pt>
              </c:numCache>
            </c:numRef>
          </c:val>
          <c:extLst>
            <c:ext xmlns:c16="http://schemas.microsoft.com/office/drawing/2014/chart" uri="{C3380CC4-5D6E-409C-BE32-E72D297353CC}">
              <c16:uniqueId val="{00000000-4016-4C01-9025-2B840E7C858A}"/>
            </c:ext>
          </c:extLst>
        </c:ser>
        <c:dLbls>
          <c:showLegendKey val="0"/>
          <c:showVal val="0"/>
          <c:showCatName val="0"/>
          <c:showSerName val="0"/>
          <c:showPercent val="0"/>
          <c:showBubbleSize val="0"/>
        </c:dLbls>
        <c:gapWidth val="219"/>
        <c:overlap val="-27"/>
        <c:axId val="1422120992"/>
        <c:axId val="1422121472"/>
      </c:barChart>
      <c:catAx>
        <c:axId val="14221209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Item</a:t>
                </a:r>
                <a:r>
                  <a:rPr lang="en-IN" b="1" baseline="0">
                    <a:solidFill>
                      <a:sysClr val="windowText" lastClr="000000"/>
                    </a:solidFill>
                  </a:rPr>
                  <a:t> Names</a:t>
                </a:r>
                <a:endParaRPr lang="en-IN" b="1">
                  <a:solidFill>
                    <a:sysClr val="windowText" lastClr="000000"/>
                  </a:solidFill>
                </a:endParaRPr>
              </a:p>
            </c:rich>
          </c:tx>
          <c:layout>
            <c:manualLayout>
              <c:xMode val="edge"/>
              <c:yMode val="edge"/>
              <c:x val="0.49866796368192473"/>
              <c:y val="0.87218450488572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422121472"/>
        <c:crosses val="autoZero"/>
        <c:auto val="1"/>
        <c:lblAlgn val="ctr"/>
        <c:lblOffset val="100"/>
        <c:noMultiLvlLbl val="0"/>
      </c:catAx>
      <c:valAx>
        <c:axId val="1422121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b="1">
                    <a:solidFill>
                      <a:sysClr val="windowText" lastClr="000000"/>
                    </a:solidFill>
                  </a:rPr>
                  <a:t>Stock</a:t>
                </a:r>
                <a:r>
                  <a:rPr lang="en-IN" b="1" baseline="0">
                    <a:solidFill>
                      <a:sysClr val="windowText" lastClr="000000"/>
                    </a:solidFill>
                  </a:rPr>
                  <a:t> Qty</a:t>
                </a:r>
                <a:endParaRPr lang="en-IN"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221209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20.xml"/><Relationship Id="rId13" Type="http://schemas.openxmlformats.org/officeDocument/2006/relationships/chart" Target="../charts/chart25.xml"/><Relationship Id="rId3" Type="http://schemas.openxmlformats.org/officeDocument/2006/relationships/chart" Target="../charts/chart15.xml"/><Relationship Id="rId7" Type="http://schemas.openxmlformats.org/officeDocument/2006/relationships/chart" Target="../charts/chart19.xml"/><Relationship Id="rId12" Type="http://schemas.openxmlformats.org/officeDocument/2006/relationships/chart" Target="../charts/chart24.xml"/><Relationship Id="rId2" Type="http://schemas.microsoft.com/office/2007/relationships/hdphoto" Target="../media/hdphoto1.wdp"/><Relationship Id="rId1" Type="http://schemas.openxmlformats.org/officeDocument/2006/relationships/image" Target="../media/image2.png"/><Relationship Id="rId6" Type="http://schemas.openxmlformats.org/officeDocument/2006/relationships/chart" Target="../charts/chart18.xml"/><Relationship Id="rId11" Type="http://schemas.openxmlformats.org/officeDocument/2006/relationships/chart" Target="../charts/chart23.xml"/><Relationship Id="rId5" Type="http://schemas.openxmlformats.org/officeDocument/2006/relationships/chart" Target="../charts/chart17.xml"/><Relationship Id="rId15" Type="http://schemas.openxmlformats.org/officeDocument/2006/relationships/chart" Target="../charts/chart27.xml"/><Relationship Id="rId10" Type="http://schemas.openxmlformats.org/officeDocument/2006/relationships/chart" Target="../charts/chart22.xml"/><Relationship Id="rId4" Type="http://schemas.openxmlformats.org/officeDocument/2006/relationships/chart" Target="../charts/chart16.xml"/><Relationship Id="rId9" Type="http://schemas.openxmlformats.org/officeDocument/2006/relationships/chart" Target="../charts/chart21.xml"/><Relationship Id="rId14"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11</xdr:col>
      <xdr:colOff>0</xdr:colOff>
      <xdr:row>5</xdr:row>
      <xdr:rowOff>0</xdr:rowOff>
    </xdr:from>
    <xdr:to>
      <xdr:col>13</xdr:col>
      <xdr:colOff>0</xdr:colOff>
      <xdr:row>18</xdr:row>
      <xdr:rowOff>30480</xdr:rowOff>
    </xdr:to>
    <xdr:graphicFrame macro="">
      <xdr:nvGraphicFramePr>
        <xdr:cNvPr id="2" name="Chart 1">
          <a:extLst>
            <a:ext uri="{FF2B5EF4-FFF2-40B4-BE49-F238E27FC236}">
              <a16:creationId xmlns:a16="http://schemas.microsoft.com/office/drawing/2014/main" id="{2C66EAA3-BF2F-62B5-FD8E-2731F320D8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3810</xdr:colOff>
      <xdr:row>6</xdr:row>
      <xdr:rowOff>7620</xdr:rowOff>
    </xdr:from>
    <xdr:to>
      <xdr:col>15</xdr:col>
      <xdr:colOff>1196340</xdr:colOff>
      <xdr:row>18</xdr:row>
      <xdr:rowOff>22860</xdr:rowOff>
    </xdr:to>
    <xdr:graphicFrame macro="">
      <xdr:nvGraphicFramePr>
        <xdr:cNvPr id="3" name="Chart 2">
          <a:extLst>
            <a:ext uri="{FF2B5EF4-FFF2-40B4-BE49-F238E27FC236}">
              <a16:creationId xmlns:a16="http://schemas.microsoft.com/office/drawing/2014/main" id="{82C5EB49-A07E-518E-4D67-070E6122B5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16</xdr:col>
      <xdr:colOff>190500</xdr:colOff>
      <xdr:row>0</xdr:row>
      <xdr:rowOff>7620</xdr:rowOff>
    </xdr:from>
    <xdr:to>
      <xdr:col>17</xdr:col>
      <xdr:colOff>548640</xdr:colOff>
      <xdr:row>13</xdr:row>
      <xdr:rowOff>81915</xdr:rowOff>
    </xdr:to>
    <mc:AlternateContent xmlns:mc="http://schemas.openxmlformats.org/markup-compatibility/2006" xmlns:a14="http://schemas.microsoft.com/office/drawing/2010/main">
      <mc:Choice Requires="a14">
        <xdr:graphicFrame macro="">
          <xdr:nvGraphicFramePr>
            <xdr:cNvPr id="4" name="Category">
              <a:extLst>
                <a:ext uri="{FF2B5EF4-FFF2-40B4-BE49-F238E27FC236}">
                  <a16:creationId xmlns:a16="http://schemas.microsoft.com/office/drawing/2014/main" id="{A6E41575-CC1D-0EC4-6D09-47973863482C}"/>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6573500" y="762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0</xdr:colOff>
      <xdr:row>2</xdr:row>
      <xdr:rowOff>137160</xdr:rowOff>
    </xdr:from>
    <xdr:to>
      <xdr:col>18</xdr:col>
      <xdr:colOff>129540</xdr:colOff>
      <xdr:row>16</xdr:row>
      <xdr:rowOff>36195</xdr:rowOff>
    </xdr:to>
    <mc:AlternateContent xmlns:mc="http://schemas.openxmlformats.org/markup-compatibility/2006" xmlns:a14="http://schemas.microsoft.com/office/drawing/2010/main">
      <mc:Choice Requires="a14">
        <xdr:graphicFrame macro="">
          <xdr:nvGraphicFramePr>
            <xdr:cNvPr id="5" name="Supplier">
              <a:extLst>
                <a:ext uri="{FF2B5EF4-FFF2-40B4-BE49-F238E27FC236}">
                  <a16:creationId xmlns:a16="http://schemas.microsoft.com/office/drawing/2014/main" id="{569F7094-2A61-0FEC-427B-82DE673BC3BC}"/>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7053560" y="48768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480060</xdr:colOff>
      <xdr:row>5</xdr:row>
      <xdr:rowOff>91440</xdr:rowOff>
    </xdr:from>
    <xdr:to>
      <xdr:col>18</xdr:col>
      <xdr:colOff>609600</xdr:colOff>
      <xdr:row>18</xdr:row>
      <xdr:rowOff>165735</xdr:rowOff>
    </xdr:to>
    <mc:AlternateContent xmlns:mc="http://schemas.openxmlformats.org/markup-compatibility/2006" xmlns:a14="http://schemas.microsoft.com/office/drawing/2010/main">
      <mc:Choice Requires="a14">
        <xdr:graphicFrame macro="">
          <xdr:nvGraphicFramePr>
            <xdr:cNvPr id="6" name="Warehouse Location">
              <a:extLst>
                <a:ext uri="{FF2B5EF4-FFF2-40B4-BE49-F238E27FC236}">
                  <a16:creationId xmlns:a16="http://schemas.microsoft.com/office/drawing/2014/main" id="{06985A53-F8E2-AB63-8D7F-B5426C9B62F0}"/>
                </a:ext>
              </a:extLst>
            </xdr:cNvPr>
            <xdr:cNvGraphicFramePr/>
          </xdr:nvGraphicFramePr>
          <xdr:xfrm>
            <a:off x="0" y="0"/>
            <a:ext cx="0" cy="0"/>
          </xdr:xfrm>
          <a:graphic>
            <a:graphicData uri="http://schemas.microsoft.com/office/drawing/2010/slicer">
              <sle:slicer xmlns:sle="http://schemas.microsoft.com/office/drawing/2010/slicer" name="Warehouse Location"/>
            </a:graphicData>
          </a:graphic>
        </xdr:graphicFrame>
      </mc:Choice>
      <mc:Fallback xmlns="">
        <xdr:sp macro="" textlink="">
          <xdr:nvSpPr>
            <xdr:cNvPr id="0" name=""/>
            <xdr:cNvSpPr>
              <a:spLocks noTextEdit="1"/>
            </xdr:cNvSpPr>
          </xdr:nvSpPr>
          <xdr:spPr>
            <a:xfrm>
              <a:off x="17533620" y="96774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289560</xdr:colOff>
      <xdr:row>8</xdr:row>
      <xdr:rowOff>45720</xdr:rowOff>
    </xdr:from>
    <xdr:to>
      <xdr:col>19</xdr:col>
      <xdr:colOff>769620</xdr:colOff>
      <xdr:row>21</xdr:row>
      <xdr:rowOff>120015</xdr:rowOff>
    </xdr:to>
    <mc:AlternateContent xmlns:mc="http://schemas.openxmlformats.org/markup-compatibility/2006" xmlns:a14="http://schemas.microsoft.com/office/drawing/2010/main">
      <mc:Choice Requires="a14">
        <xdr:graphicFrame macro="">
          <xdr:nvGraphicFramePr>
            <xdr:cNvPr id="7" name="Stock Status">
              <a:extLst>
                <a:ext uri="{FF2B5EF4-FFF2-40B4-BE49-F238E27FC236}">
                  <a16:creationId xmlns:a16="http://schemas.microsoft.com/office/drawing/2014/main" id="{360FFF0B-24FC-A086-CAA3-70D3DFCDF9B2}"/>
                </a:ext>
              </a:extLst>
            </xdr:cNvPr>
            <xdr:cNvGraphicFramePr/>
          </xdr:nvGraphicFramePr>
          <xdr:xfrm>
            <a:off x="0" y="0"/>
            <a:ext cx="0" cy="0"/>
          </xdr:xfrm>
          <a:graphic>
            <a:graphicData uri="http://schemas.microsoft.com/office/drawing/2010/slicer">
              <sle:slicer xmlns:sle="http://schemas.microsoft.com/office/drawing/2010/slicer" name="Stock Status"/>
            </a:graphicData>
          </a:graphic>
        </xdr:graphicFrame>
      </mc:Choice>
      <mc:Fallback xmlns="">
        <xdr:sp macro="" textlink="">
          <xdr:nvSpPr>
            <xdr:cNvPr id="0" name=""/>
            <xdr:cNvSpPr>
              <a:spLocks noTextEdit="1"/>
            </xdr:cNvSpPr>
          </xdr:nvSpPr>
          <xdr:spPr>
            <a:xfrm>
              <a:off x="18013680" y="144780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99060</xdr:colOff>
      <xdr:row>11</xdr:row>
      <xdr:rowOff>0</xdr:rowOff>
    </xdr:from>
    <xdr:to>
      <xdr:col>20</xdr:col>
      <xdr:colOff>228600</xdr:colOff>
      <xdr:row>24</xdr:row>
      <xdr:rowOff>74295</xdr:rowOff>
    </xdr:to>
    <mc:AlternateContent xmlns:mc="http://schemas.openxmlformats.org/markup-compatibility/2006" xmlns:a14="http://schemas.microsoft.com/office/drawing/2010/main">
      <mc:Choice Requires="a14">
        <xdr:graphicFrame macro="">
          <xdr:nvGraphicFramePr>
            <xdr:cNvPr id="8" name="Item Name">
              <a:extLst>
                <a:ext uri="{FF2B5EF4-FFF2-40B4-BE49-F238E27FC236}">
                  <a16:creationId xmlns:a16="http://schemas.microsoft.com/office/drawing/2014/main" id="{0B8C753F-F1C0-3034-023C-04F14BDA74EA}"/>
                </a:ext>
              </a:extLst>
            </xdr:cNvPr>
            <xdr:cNvGraphicFramePr/>
          </xdr:nvGraphicFramePr>
          <xdr:xfrm>
            <a:off x="0" y="0"/>
            <a:ext cx="0" cy="0"/>
          </xdr:xfrm>
          <a:graphic>
            <a:graphicData uri="http://schemas.microsoft.com/office/drawing/2010/slicer">
              <sle:slicer xmlns:sle="http://schemas.microsoft.com/office/drawing/2010/slicer" name="Item Name"/>
            </a:graphicData>
          </a:graphic>
        </xdr:graphicFrame>
      </mc:Choice>
      <mc:Fallback xmlns="">
        <xdr:sp macro="" textlink="">
          <xdr:nvSpPr>
            <xdr:cNvPr id="0" name=""/>
            <xdr:cNvSpPr>
              <a:spLocks noTextEdit="1"/>
            </xdr:cNvSpPr>
          </xdr:nvSpPr>
          <xdr:spPr>
            <a:xfrm>
              <a:off x="18493740" y="1927860"/>
              <a:ext cx="1828800" cy="23526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655320</xdr:colOff>
      <xdr:row>11</xdr:row>
      <xdr:rowOff>30480</xdr:rowOff>
    </xdr:from>
    <xdr:to>
      <xdr:col>7</xdr:col>
      <xdr:colOff>1455420</xdr:colOff>
      <xdr:row>18</xdr:row>
      <xdr:rowOff>167640</xdr:rowOff>
    </xdr:to>
    <xdr:graphicFrame macro="">
      <xdr:nvGraphicFramePr>
        <xdr:cNvPr id="9" name="Chart 8">
          <a:extLst>
            <a:ext uri="{FF2B5EF4-FFF2-40B4-BE49-F238E27FC236}">
              <a16:creationId xmlns:a16="http://schemas.microsoft.com/office/drawing/2014/main" id="{E7FE4242-7815-130E-FCBB-44747068145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685800</xdr:colOff>
      <xdr:row>11</xdr:row>
      <xdr:rowOff>68580</xdr:rowOff>
    </xdr:from>
    <xdr:to>
      <xdr:col>5</xdr:col>
      <xdr:colOff>365760</xdr:colOff>
      <xdr:row>27</xdr:row>
      <xdr:rowOff>7620</xdr:rowOff>
    </xdr:to>
    <xdr:graphicFrame macro="">
      <xdr:nvGraphicFramePr>
        <xdr:cNvPr id="10" name="Chart 9">
          <a:extLst>
            <a:ext uri="{FF2B5EF4-FFF2-40B4-BE49-F238E27FC236}">
              <a16:creationId xmlns:a16="http://schemas.microsoft.com/office/drawing/2014/main" id="{D070EA0E-6045-4ACA-2E89-D6A142E219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118110</xdr:colOff>
      <xdr:row>11</xdr:row>
      <xdr:rowOff>45720</xdr:rowOff>
    </xdr:from>
    <xdr:to>
      <xdr:col>1</xdr:col>
      <xdr:colOff>1226820</xdr:colOff>
      <xdr:row>24</xdr:row>
      <xdr:rowOff>91440</xdr:rowOff>
    </xdr:to>
    <xdr:graphicFrame macro="">
      <xdr:nvGraphicFramePr>
        <xdr:cNvPr id="11" name="Chart 10">
          <a:extLst>
            <a:ext uri="{FF2B5EF4-FFF2-40B4-BE49-F238E27FC236}">
              <a16:creationId xmlns:a16="http://schemas.microsoft.com/office/drawing/2014/main" id="{82389ABE-F468-A0AD-09A3-ECC9C201089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34</xdr:row>
      <xdr:rowOff>0</xdr:rowOff>
    </xdr:from>
    <xdr:to>
      <xdr:col>2</xdr:col>
      <xdr:colOff>792480</xdr:colOff>
      <xdr:row>47</xdr:row>
      <xdr:rowOff>114300</xdr:rowOff>
    </xdr:to>
    <xdr:graphicFrame macro="">
      <xdr:nvGraphicFramePr>
        <xdr:cNvPr id="12" name="Chart 11">
          <a:extLst>
            <a:ext uri="{FF2B5EF4-FFF2-40B4-BE49-F238E27FC236}">
              <a16:creationId xmlns:a16="http://schemas.microsoft.com/office/drawing/2014/main" id="{09F7822A-6CAB-A00B-73B2-58B83A0AFA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38100</xdr:colOff>
      <xdr:row>34</xdr:row>
      <xdr:rowOff>15240</xdr:rowOff>
    </xdr:from>
    <xdr:to>
      <xdr:col>5</xdr:col>
      <xdr:colOff>403860</xdr:colOff>
      <xdr:row>49</xdr:row>
      <xdr:rowOff>76200</xdr:rowOff>
    </xdr:to>
    <xdr:graphicFrame macro="">
      <xdr:nvGraphicFramePr>
        <xdr:cNvPr id="13" name="Chart 12">
          <a:extLst>
            <a:ext uri="{FF2B5EF4-FFF2-40B4-BE49-F238E27FC236}">
              <a16:creationId xmlns:a16="http://schemas.microsoft.com/office/drawing/2014/main" id="{3D9A6526-C384-FD4B-3204-8668103D36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651510</xdr:colOff>
      <xdr:row>36</xdr:row>
      <xdr:rowOff>30480</xdr:rowOff>
    </xdr:from>
    <xdr:to>
      <xdr:col>8</xdr:col>
      <xdr:colOff>297180</xdr:colOff>
      <xdr:row>52</xdr:row>
      <xdr:rowOff>83820</xdr:rowOff>
    </xdr:to>
    <xdr:graphicFrame macro="">
      <xdr:nvGraphicFramePr>
        <xdr:cNvPr id="14" name="Chart 13">
          <a:extLst>
            <a:ext uri="{FF2B5EF4-FFF2-40B4-BE49-F238E27FC236}">
              <a16:creationId xmlns:a16="http://schemas.microsoft.com/office/drawing/2014/main" id="{C9C8767C-5837-6607-AE89-BCEA4EFEED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605790</xdr:colOff>
      <xdr:row>35</xdr:row>
      <xdr:rowOff>45720</xdr:rowOff>
    </xdr:from>
    <xdr:to>
      <xdr:col>11</xdr:col>
      <xdr:colOff>716280</xdr:colOff>
      <xdr:row>50</xdr:row>
      <xdr:rowOff>160020</xdr:rowOff>
    </xdr:to>
    <xdr:graphicFrame macro="">
      <xdr:nvGraphicFramePr>
        <xdr:cNvPr id="15" name="Chart 14">
          <a:extLst>
            <a:ext uri="{FF2B5EF4-FFF2-40B4-BE49-F238E27FC236}">
              <a16:creationId xmlns:a16="http://schemas.microsoft.com/office/drawing/2014/main" id="{8458BB8C-2912-D6E6-D9C7-84A7F9F4F0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68580</xdr:colOff>
      <xdr:row>35</xdr:row>
      <xdr:rowOff>38100</xdr:rowOff>
    </xdr:from>
    <xdr:to>
      <xdr:col>14</xdr:col>
      <xdr:colOff>792480</xdr:colOff>
      <xdr:row>46</xdr:row>
      <xdr:rowOff>167640</xdr:rowOff>
    </xdr:to>
    <xdr:graphicFrame macro="">
      <xdr:nvGraphicFramePr>
        <xdr:cNvPr id="16" name="Chart 15">
          <a:extLst>
            <a:ext uri="{FF2B5EF4-FFF2-40B4-BE49-F238E27FC236}">
              <a16:creationId xmlns:a16="http://schemas.microsoft.com/office/drawing/2014/main" id="{588DDFFE-7F80-0C66-7921-B1E5F6528D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30480</xdr:colOff>
      <xdr:row>35</xdr:row>
      <xdr:rowOff>45720</xdr:rowOff>
    </xdr:from>
    <xdr:to>
      <xdr:col>17</xdr:col>
      <xdr:colOff>632460</xdr:colOff>
      <xdr:row>47</xdr:row>
      <xdr:rowOff>15240</xdr:rowOff>
    </xdr:to>
    <xdr:graphicFrame macro="">
      <xdr:nvGraphicFramePr>
        <xdr:cNvPr id="17" name="Chart 16">
          <a:extLst>
            <a:ext uri="{FF2B5EF4-FFF2-40B4-BE49-F238E27FC236}">
              <a16:creationId xmlns:a16="http://schemas.microsoft.com/office/drawing/2014/main" id="{99DB2C98-52A5-5D07-D23B-9EEF561151E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62</xdr:row>
      <xdr:rowOff>30480</xdr:rowOff>
    </xdr:from>
    <xdr:to>
      <xdr:col>2</xdr:col>
      <xdr:colOff>1196340</xdr:colOff>
      <xdr:row>77</xdr:row>
      <xdr:rowOff>144780</xdr:rowOff>
    </xdr:to>
    <xdr:graphicFrame macro="">
      <xdr:nvGraphicFramePr>
        <xdr:cNvPr id="18" name="Chart 17">
          <a:extLst>
            <a:ext uri="{FF2B5EF4-FFF2-40B4-BE49-F238E27FC236}">
              <a16:creationId xmlns:a16="http://schemas.microsoft.com/office/drawing/2014/main" id="{4C2D104F-0E85-6E78-B4C8-3C16BA9965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3810</xdr:colOff>
      <xdr:row>61</xdr:row>
      <xdr:rowOff>22860</xdr:rowOff>
    </xdr:from>
    <xdr:to>
      <xdr:col>5</xdr:col>
      <xdr:colOff>830580</xdr:colOff>
      <xdr:row>76</xdr:row>
      <xdr:rowOff>137160</xdr:rowOff>
    </xdr:to>
    <xdr:graphicFrame macro="">
      <xdr:nvGraphicFramePr>
        <xdr:cNvPr id="19" name="Chart 18">
          <a:extLst>
            <a:ext uri="{FF2B5EF4-FFF2-40B4-BE49-F238E27FC236}">
              <a16:creationId xmlns:a16="http://schemas.microsoft.com/office/drawing/2014/main" id="{ECBCBA35-F183-D073-A2E5-B33D327A0A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53340</xdr:colOff>
      <xdr:row>64</xdr:row>
      <xdr:rowOff>144780</xdr:rowOff>
    </xdr:from>
    <xdr:to>
      <xdr:col>8</xdr:col>
      <xdr:colOff>68580</xdr:colOff>
      <xdr:row>81</xdr:row>
      <xdr:rowOff>129540</xdr:rowOff>
    </xdr:to>
    <xdr:graphicFrame macro="">
      <xdr:nvGraphicFramePr>
        <xdr:cNvPr id="20" name="Chart 19">
          <a:extLst>
            <a:ext uri="{FF2B5EF4-FFF2-40B4-BE49-F238E27FC236}">
              <a16:creationId xmlns:a16="http://schemas.microsoft.com/office/drawing/2014/main" id="{31ED5E8D-9255-AF82-C6C7-DC8FC4915A2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724</xdr:row>
      <xdr:rowOff>111760</xdr:rowOff>
    </xdr:from>
    <xdr:to>
      <xdr:col>21</xdr:col>
      <xdr:colOff>55294</xdr:colOff>
      <xdr:row>758</xdr:row>
      <xdr:rowOff>30573</xdr:rowOff>
    </xdr:to>
    <xdr:grpSp>
      <xdr:nvGrpSpPr>
        <xdr:cNvPr id="26" name="grpoverview">
          <a:extLst>
            <a:ext uri="{FF2B5EF4-FFF2-40B4-BE49-F238E27FC236}">
              <a16:creationId xmlns:a16="http://schemas.microsoft.com/office/drawing/2014/main" id="{A687F1A5-2EA0-361F-29AF-CADE8210E88D}"/>
            </a:ext>
          </a:extLst>
        </xdr:cNvPr>
        <xdr:cNvGrpSpPr/>
      </xdr:nvGrpSpPr>
      <xdr:grpSpPr>
        <a:xfrm>
          <a:off x="0" y="129520056"/>
          <a:ext cx="14081738" cy="5995998"/>
          <a:chOff x="0" y="0"/>
          <a:chExt cx="14081738" cy="5992517"/>
        </a:xfrm>
      </xdr:grpSpPr>
      <xdr:sp macro="" textlink="">
        <xdr:nvSpPr>
          <xdr:cNvPr id="3" name="Rectangle: Top Corners Rounded 2">
            <a:extLst>
              <a:ext uri="{FF2B5EF4-FFF2-40B4-BE49-F238E27FC236}">
                <a16:creationId xmlns:a16="http://schemas.microsoft.com/office/drawing/2014/main" id="{526BCC70-B6C8-088F-16AF-B8E718EE57CA}"/>
              </a:ext>
            </a:extLst>
          </xdr:cNvPr>
          <xdr:cNvSpPr/>
        </xdr:nvSpPr>
        <xdr:spPr>
          <a:xfrm>
            <a:off x="0" y="0"/>
            <a:ext cx="14072164" cy="1194364"/>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pic>
        <xdr:nvPicPr>
          <xdr:cNvPr id="4" name="Picture 3">
            <a:extLst>
              <a:ext uri="{FF2B5EF4-FFF2-40B4-BE49-F238E27FC236}">
                <a16:creationId xmlns:a16="http://schemas.microsoft.com/office/drawing/2014/main" id="{A1B138A3-FD75-4B5A-B010-5D9931302FF2}"/>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duotone>
              <a:srgbClr val="1CADE4">
                <a:shade val="45000"/>
                <a:satMod val="135000"/>
              </a:srgbClr>
              <a:prstClr val="white"/>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rcRect l="1657" t="27703" r="2578" b="13812"/>
          <a:stretch/>
        </xdr:blipFill>
        <xdr:spPr>
          <a:xfrm>
            <a:off x="114300" y="68580"/>
            <a:ext cx="1260915" cy="104196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sp macro="" textlink="">
        <xdr:nvSpPr>
          <xdr:cNvPr id="5" name="Rectangle 4">
            <a:extLst>
              <a:ext uri="{FF2B5EF4-FFF2-40B4-BE49-F238E27FC236}">
                <a16:creationId xmlns:a16="http://schemas.microsoft.com/office/drawing/2014/main" id="{4AED9104-2AD5-4666-B39D-CE5F244CB9EE}"/>
              </a:ext>
            </a:extLst>
          </xdr:cNvPr>
          <xdr:cNvSpPr/>
        </xdr:nvSpPr>
        <xdr:spPr>
          <a:xfrm>
            <a:off x="1419672" y="68581"/>
            <a:ext cx="12517967" cy="1049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u="dbl">
                <a:solidFill>
                  <a:schemeClr val="accent1"/>
                </a:solidFill>
                <a:latin typeface="Algerian" panose="04020705040A02060702" pitchFamily="82" charset="0"/>
              </a:rPr>
              <a:t>Inventory</a:t>
            </a:r>
            <a:r>
              <a:rPr lang="en-IN" sz="2800" b="1" u="none">
                <a:solidFill>
                  <a:schemeClr val="accent1"/>
                </a:solidFill>
                <a:latin typeface="Algerian" panose="04020705040A02060702" pitchFamily="82" charset="0"/>
              </a:rPr>
              <a:t> </a:t>
            </a:r>
            <a:r>
              <a:rPr lang="en-IN" sz="2800" b="1" u="dbl">
                <a:solidFill>
                  <a:schemeClr val="accent1"/>
                </a:solidFill>
                <a:latin typeface="Algerian" panose="04020705040A02060702" pitchFamily="82" charset="0"/>
              </a:rPr>
              <a:t>Management</a:t>
            </a:r>
            <a:r>
              <a:rPr lang="en-IN" sz="2800" b="1" u="none">
                <a:solidFill>
                  <a:schemeClr val="accent1"/>
                </a:solidFill>
                <a:latin typeface="Algerian" panose="04020705040A02060702" pitchFamily="82" charset="0"/>
              </a:rPr>
              <a:t> </a:t>
            </a:r>
            <a:r>
              <a:rPr lang="en-IN" sz="2800" b="1" u="dbl">
                <a:solidFill>
                  <a:schemeClr val="accent1"/>
                </a:solidFill>
                <a:latin typeface="Algerian" panose="04020705040A02060702" pitchFamily="82" charset="0"/>
              </a:rPr>
              <a:t>Dashboard</a:t>
            </a:r>
          </a:p>
        </xdr:txBody>
      </xdr:sp>
      <xdr:sp macro="[0]!Show_Restock" textlink="">
        <xdr:nvSpPr>
          <xdr:cNvPr id="7" name="Rectangle 6">
            <a:extLst>
              <a:ext uri="{FF2B5EF4-FFF2-40B4-BE49-F238E27FC236}">
                <a16:creationId xmlns:a16="http://schemas.microsoft.com/office/drawing/2014/main" id="{7D2915CB-39F5-46D9-ABB9-C89ED2940FE0}"/>
              </a:ext>
            </a:extLst>
          </xdr:cNvPr>
          <xdr:cNvSpPr/>
        </xdr:nvSpPr>
        <xdr:spPr>
          <a:xfrm>
            <a:off x="11735741" y="730204"/>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u="sng"/>
              <a:t>Restocking</a:t>
            </a:r>
            <a:r>
              <a:rPr lang="en-IN" sz="1400" u="sng" baseline="0"/>
              <a:t> Trends</a:t>
            </a:r>
            <a:endParaRPr lang="en-IN" sz="1400" u="sng"/>
          </a:p>
        </xdr:txBody>
      </xdr:sp>
      <xdr:sp macro="[0]!Show_Category" textlink="">
        <xdr:nvSpPr>
          <xdr:cNvPr id="8" name="Rectangle 7">
            <a:extLst>
              <a:ext uri="{FF2B5EF4-FFF2-40B4-BE49-F238E27FC236}">
                <a16:creationId xmlns:a16="http://schemas.microsoft.com/office/drawing/2014/main" id="{9C320CFC-C717-44D5-A96E-DC390680B9D3}"/>
              </a:ext>
            </a:extLst>
          </xdr:cNvPr>
          <xdr:cNvSpPr/>
        </xdr:nvSpPr>
        <xdr:spPr>
          <a:xfrm>
            <a:off x="9231677" y="699724"/>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Category-Wise</a:t>
            </a:r>
          </a:p>
        </xdr:txBody>
      </xdr:sp>
      <xdr:sp macro="[0]!Show_Supplier" textlink="">
        <xdr:nvSpPr>
          <xdr:cNvPr id="9" name="Rectangle 8">
            <a:extLst>
              <a:ext uri="{FF2B5EF4-FFF2-40B4-BE49-F238E27FC236}">
                <a16:creationId xmlns:a16="http://schemas.microsoft.com/office/drawing/2014/main" id="{F7FDF56B-E46E-47E4-8C6D-8E1FDC0CD031}"/>
              </a:ext>
            </a:extLst>
          </xdr:cNvPr>
          <xdr:cNvSpPr/>
        </xdr:nvSpPr>
        <xdr:spPr>
          <a:xfrm>
            <a:off x="6694499" y="707344"/>
            <a:ext cx="1617792"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Supplier Analysis</a:t>
            </a:r>
          </a:p>
        </xdr:txBody>
      </xdr:sp>
      <xdr:sp macro="[0]!Show_Warehouse" textlink="">
        <xdr:nvSpPr>
          <xdr:cNvPr id="10" name="Rectangle 9">
            <a:extLst>
              <a:ext uri="{FF2B5EF4-FFF2-40B4-BE49-F238E27FC236}">
                <a16:creationId xmlns:a16="http://schemas.microsoft.com/office/drawing/2014/main" id="{40946E52-9402-4B9F-9C7A-88DC79DBA1B1}"/>
              </a:ext>
            </a:extLst>
          </xdr:cNvPr>
          <xdr:cNvSpPr/>
        </xdr:nvSpPr>
        <xdr:spPr>
          <a:xfrm>
            <a:off x="4220916" y="707344"/>
            <a:ext cx="1617791"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Warehouse</a:t>
            </a:r>
          </a:p>
        </xdr:txBody>
      </xdr:sp>
      <xdr:sp macro="" textlink="">
        <xdr:nvSpPr>
          <xdr:cNvPr id="11" name="Rectangle 10">
            <a:extLst>
              <a:ext uri="{FF2B5EF4-FFF2-40B4-BE49-F238E27FC236}">
                <a16:creationId xmlns:a16="http://schemas.microsoft.com/office/drawing/2014/main" id="{3B65AFE5-DA90-0585-5786-76A1AAEF4D57}"/>
              </a:ext>
            </a:extLst>
          </xdr:cNvPr>
          <xdr:cNvSpPr/>
        </xdr:nvSpPr>
        <xdr:spPr>
          <a:xfrm>
            <a:off x="45720" y="1258805"/>
            <a:ext cx="2140938" cy="469608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Rectangle 11">
            <a:extLst>
              <a:ext uri="{FF2B5EF4-FFF2-40B4-BE49-F238E27FC236}">
                <a16:creationId xmlns:a16="http://schemas.microsoft.com/office/drawing/2014/main" id="{E2CA4E11-2AC2-4805-A18F-7BAF8FD0BA0E}"/>
              </a:ext>
            </a:extLst>
          </xdr:cNvPr>
          <xdr:cNvSpPr/>
        </xdr:nvSpPr>
        <xdr:spPr>
          <a:xfrm>
            <a:off x="11895761" y="1235945"/>
            <a:ext cx="2185977" cy="4686676"/>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ow_Overview" textlink="">
        <xdr:nvSpPr>
          <xdr:cNvPr id="6" name="Rectangle 5">
            <a:extLst>
              <a:ext uri="{FF2B5EF4-FFF2-40B4-BE49-F238E27FC236}">
                <a16:creationId xmlns:a16="http://schemas.microsoft.com/office/drawing/2014/main" id="{08CB3A33-E64F-7098-DE99-0E4615A9458F}"/>
              </a:ext>
            </a:extLst>
          </xdr:cNvPr>
          <xdr:cNvSpPr/>
        </xdr:nvSpPr>
        <xdr:spPr>
          <a:xfrm>
            <a:off x="1882972" y="698465"/>
            <a:ext cx="1622410" cy="307874"/>
          </a:xfrm>
          <a:prstGeom prst="rect">
            <a:avLst/>
          </a:prstGeom>
          <a:solidFill>
            <a:schemeClr val="accent1">
              <a:lumMod val="50000"/>
            </a:schemeClr>
          </a:solidFill>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Overview</a:t>
            </a:r>
          </a:p>
        </xdr:txBody>
      </xdr:sp>
      <xdr:sp macro="" textlink="PivotTable!$A$2">
        <xdr:nvSpPr>
          <xdr:cNvPr id="13" name="Rectangle 12">
            <a:extLst>
              <a:ext uri="{FF2B5EF4-FFF2-40B4-BE49-F238E27FC236}">
                <a16:creationId xmlns:a16="http://schemas.microsoft.com/office/drawing/2014/main" id="{8A37F887-D2D4-10A4-C702-5F0D864CE5CF}"/>
              </a:ext>
            </a:extLst>
          </xdr:cNvPr>
          <xdr:cNvSpPr/>
        </xdr:nvSpPr>
        <xdr:spPr>
          <a:xfrm>
            <a:off x="2340350" y="1309511"/>
            <a:ext cx="1605440" cy="644091"/>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B78B71D8-6A10-4476-A182-F1C4BE868C43}" type="TxLink">
              <a:rPr lang="en-US" sz="2000" b="1" i="0" u="none" strike="noStrike">
                <a:solidFill>
                  <a:schemeClr val="bg1"/>
                </a:solidFill>
                <a:latin typeface="Tw Cen MT"/>
              </a:rPr>
              <a:pPr algn="ctr"/>
              <a:t>24402</a:t>
            </a:fld>
            <a:endParaRPr lang="en-US" sz="2000" b="1" i="0" u="none" strike="noStrike">
              <a:solidFill>
                <a:schemeClr val="bg1"/>
              </a:solidFill>
              <a:latin typeface="Tw Cen MT"/>
            </a:endParaRPr>
          </a:p>
          <a:p>
            <a:pPr algn="ctr"/>
            <a:r>
              <a:rPr lang="en-US" sz="1100" b="1" i="0">
                <a:solidFill>
                  <a:schemeClr val="lt1"/>
                </a:solidFill>
                <a:effectLst/>
                <a:latin typeface="+mn-lt"/>
                <a:ea typeface="+mn-ea"/>
                <a:cs typeface="+mn-cs"/>
              </a:rPr>
              <a:t>Total Stock Quantity</a:t>
            </a:r>
            <a:endParaRPr lang="en-IN" sz="1200" b="1">
              <a:effectLst/>
            </a:endParaRPr>
          </a:p>
        </xdr:txBody>
      </xdr:sp>
      <xdr:sp macro="" textlink="PivotTable!$C$2">
        <xdr:nvSpPr>
          <xdr:cNvPr id="14" name="Rectangle 13">
            <a:extLst>
              <a:ext uri="{FF2B5EF4-FFF2-40B4-BE49-F238E27FC236}">
                <a16:creationId xmlns:a16="http://schemas.microsoft.com/office/drawing/2014/main" id="{DF548729-BE1C-4069-909D-8C186A3710F6}"/>
              </a:ext>
            </a:extLst>
          </xdr:cNvPr>
          <xdr:cNvSpPr/>
        </xdr:nvSpPr>
        <xdr:spPr>
          <a:xfrm>
            <a:off x="4069045" y="1301525"/>
            <a:ext cx="2153834" cy="636104"/>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730D639-8EE7-4029-846B-227689812411}" type="TxLink">
              <a:rPr lang="en-US" sz="2000" b="1" i="0" u="none" strike="noStrike">
                <a:solidFill>
                  <a:schemeClr val="bg1"/>
                </a:solidFill>
                <a:latin typeface="Tw Cen MT"/>
              </a:rPr>
              <a:pPr algn="ctr"/>
              <a:t>₹ 59,43,897.13</a:t>
            </a:fld>
            <a:endParaRPr lang="en-US" sz="2000" b="1" i="0" u="none" strike="noStrike">
              <a:solidFill>
                <a:schemeClr val="bg1"/>
              </a:solidFill>
              <a:latin typeface="Tw Cen MT"/>
            </a:endParaRPr>
          </a:p>
          <a:p>
            <a:pPr algn="ctr"/>
            <a:r>
              <a:rPr lang="en-US" sz="1100" b="1" i="0">
                <a:solidFill>
                  <a:schemeClr val="lt1"/>
                </a:solidFill>
                <a:effectLst/>
                <a:latin typeface="+mn-lt"/>
                <a:ea typeface="+mn-ea"/>
                <a:cs typeface="+mn-cs"/>
              </a:rPr>
              <a:t>Total</a:t>
            </a:r>
            <a:r>
              <a:rPr lang="en-US" sz="1100" b="1" i="0" baseline="0">
                <a:solidFill>
                  <a:schemeClr val="lt1"/>
                </a:solidFill>
                <a:effectLst/>
                <a:latin typeface="+mn-lt"/>
                <a:ea typeface="+mn-ea"/>
                <a:cs typeface="+mn-cs"/>
              </a:rPr>
              <a:t> Stock Value</a:t>
            </a:r>
            <a:endParaRPr lang="en-IN" sz="1200" b="1">
              <a:effectLst/>
            </a:endParaRPr>
          </a:p>
        </xdr:txBody>
      </xdr:sp>
      <xdr:sp macro="" textlink="PivotTable!$E$2">
        <xdr:nvSpPr>
          <xdr:cNvPr id="15" name="Rectangle 14">
            <a:extLst>
              <a:ext uri="{FF2B5EF4-FFF2-40B4-BE49-F238E27FC236}">
                <a16:creationId xmlns:a16="http://schemas.microsoft.com/office/drawing/2014/main" id="{54B81D4A-0DA6-4B04-94D7-E3079EFD6000}"/>
              </a:ext>
            </a:extLst>
          </xdr:cNvPr>
          <xdr:cNvSpPr/>
        </xdr:nvSpPr>
        <xdr:spPr>
          <a:xfrm>
            <a:off x="6329164" y="1293538"/>
            <a:ext cx="1605440" cy="644091"/>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E3937A37-23FD-4D95-BEAA-7984FAB7F12F}" type="TxLink">
              <a:rPr lang="en-US" sz="2000" b="1" i="0" u="none" strike="noStrike">
                <a:solidFill>
                  <a:schemeClr val="bg1"/>
                </a:solidFill>
                <a:latin typeface="Tw Cen MT"/>
              </a:rPr>
              <a:pPr algn="ctr"/>
              <a:t>244.02</a:t>
            </a:fld>
            <a:endParaRPr lang="en-US" sz="2000" b="1" i="0" u="none" strike="noStrike">
              <a:solidFill>
                <a:schemeClr val="bg1"/>
              </a:solidFill>
              <a:latin typeface="Tw Cen MT"/>
            </a:endParaRPr>
          </a:p>
          <a:p>
            <a:pPr algn="ctr"/>
            <a:r>
              <a:rPr lang="en-US" sz="1100" b="1" i="0">
                <a:solidFill>
                  <a:schemeClr val="lt1"/>
                </a:solidFill>
                <a:effectLst/>
                <a:latin typeface="+mn-lt"/>
                <a:ea typeface="+mn-ea"/>
                <a:cs typeface="+mn-cs"/>
              </a:rPr>
              <a:t>Avg.Stock Quantity</a:t>
            </a:r>
            <a:endParaRPr lang="en-IN" sz="1200" b="1">
              <a:effectLst/>
            </a:endParaRPr>
          </a:p>
        </xdr:txBody>
      </xdr:sp>
      <xdr:sp macro="" textlink="PivotTable!$G$2">
        <xdr:nvSpPr>
          <xdr:cNvPr id="16" name="Rectangle 15">
            <a:extLst>
              <a:ext uri="{FF2B5EF4-FFF2-40B4-BE49-F238E27FC236}">
                <a16:creationId xmlns:a16="http://schemas.microsoft.com/office/drawing/2014/main" id="{C189ED39-A168-4E06-9409-3ACB931B3A94}"/>
              </a:ext>
            </a:extLst>
          </xdr:cNvPr>
          <xdr:cNvSpPr/>
        </xdr:nvSpPr>
        <xdr:spPr>
          <a:xfrm>
            <a:off x="8035083" y="1285551"/>
            <a:ext cx="1969845" cy="660064"/>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C909BCCA-7960-4897-ABB5-32DB3190D0FD}" type="TxLink">
              <a:rPr lang="en-US" sz="2000" b="1" i="0" u="none" strike="noStrike">
                <a:solidFill>
                  <a:schemeClr val="bg1"/>
                </a:solidFill>
                <a:latin typeface="Tw Cen MT"/>
              </a:rPr>
              <a:pPr algn="ctr"/>
              <a:t>₹ 59,438.97</a:t>
            </a:fld>
            <a:endParaRPr lang="en-US" sz="2000" b="1" i="0" u="none" strike="noStrike">
              <a:solidFill>
                <a:schemeClr val="bg1"/>
              </a:solidFill>
              <a:latin typeface="Tw Cen MT"/>
            </a:endParaRPr>
          </a:p>
          <a:p>
            <a:pPr algn="ctr"/>
            <a:r>
              <a:rPr lang="en-US" sz="1100" b="1" i="0">
                <a:solidFill>
                  <a:schemeClr val="lt1"/>
                </a:solidFill>
                <a:effectLst/>
                <a:latin typeface="+mn-lt"/>
                <a:ea typeface="+mn-ea"/>
                <a:cs typeface="+mn-cs"/>
              </a:rPr>
              <a:t>Avg.Stock Value</a:t>
            </a:r>
            <a:endParaRPr lang="en-IN" sz="2000" b="1">
              <a:effectLst/>
            </a:endParaRPr>
          </a:p>
        </xdr:txBody>
      </xdr:sp>
      <xdr:sp macro="" textlink="PivotTable!$J$4">
        <xdr:nvSpPr>
          <xdr:cNvPr id="17" name="Rectangle 16">
            <a:extLst>
              <a:ext uri="{FF2B5EF4-FFF2-40B4-BE49-F238E27FC236}">
                <a16:creationId xmlns:a16="http://schemas.microsoft.com/office/drawing/2014/main" id="{3B5BF3A9-5598-4834-BED8-3CB43A80B6F2}"/>
              </a:ext>
            </a:extLst>
          </xdr:cNvPr>
          <xdr:cNvSpPr/>
        </xdr:nvSpPr>
        <xdr:spPr>
          <a:xfrm>
            <a:off x="10143367" y="1285551"/>
            <a:ext cx="1605440" cy="644091"/>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D2E889D6-C2E7-44DF-8F2F-3FF02A5B4AE8}" type="TxLink">
              <a:rPr lang="en-US" sz="2000" b="1" i="0" u="none" strike="noStrike">
                <a:solidFill>
                  <a:schemeClr val="bg1"/>
                </a:solidFill>
                <a:latin typeface="Tw Cen MT"/>
              </a:rPr>
              <a:pPr algn="ctr"/>
              <a:t>2571</a:t>
            </a:fld>
            <a:endParaRPr lang="en-IN" sz="1200" b="1">
              <a:effectLst/>
            </a:endParaRPr>
          </a:p>
          <a:p>
            <a:pPr algn="ctr"/>
            <a:r>
              <a:rPr lang="en-US" sz="1100" b="1" i="0">
                <a:solidFill>
                  <a:schemeClr val="lt1"/>
                </a:solidFill>
                <a:effectLst/>
                <a:latin typeface="+mn-lt"/>
                <a:ea typeface="+mn-ea"/>
                <a:cs typeface="+mn-cs"/>
              </a:rPr>
              <a:t>Restock Qty</a:t>
            </a:r>
            <a:r>
              <a:rPr lang="en-US" sz="1100" b="1" i="0" baseline="0">
                <a:solidFill>
                  <a:schemeClr val="lt1"/>
                </a:solidFill>
                <a:effectLst/>
                <a:latin typeface="+mn-lt"/>
                <a:ea typeface="+mn-ea"/>
                <a:cs typeface="+mn-cs"/>
              </a:rPr>
              <a:t> Needed</a:t>
            </a:r>
            <a:endParaRPr lang="en-IN" sz="1200" b="1">
              <a:effectLst/>
            </a:endParaRPr>
          </a:p>
        </xdr:txBody>
      </xdr:sp>
      <xdr:graphicFrame macro="">
        <xdr:nvGraphicFramePr>
          <xdr:cNvPr id="18" name="Chart 17">
            <a:extLst>
              <a:ext uri="{FF2B5EF4-FFF2-40B4-BE49-F238E27FC236}">
                <a16:creationId xmlns:a16="http://schemas.microsoft.com/office/drawing/2014/main" id="{BD542C57-D30D-4833-B2DA-E829C45DC811}"/>
              </a:ext>
            </a:extLst>
          </xdr:cNvPr>
          <xdr:cNvGraphicFramePr>
            <a:graphicFrameLocks/>
          </xdr:cNvGraphicFramePr>
        </xdr:nvGraphicFramePr>
        <xdr:xfrm>
          <a:off x="2309983" y="2029864"/>
          <a:ext cx="3943262" cy="3962653"/>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9" name="Chart 18">
            <a:extLst>
              <a:ext uri="{FF2B5EF4-FFF2-40B4-BE49-F238E27FC236}">
                <a16:creationId xmlns:a16="http://schemas.microsoft.com/office/drawing/2014/main" id="{0E9A9A94-6306-41FB-95BA-DE3137204451}"/>
              </a:ext>
            </a:extLst>
          </xdr:cNvPr>
          <xdr:cNvGraphicFramePr>
            <a:graphicFrameLocks/>
          </xdr:cNvGraphicFramePr>
        </xdr:nvGraphicFramePr>
        <xdr:xfrm>
          <a:off x="6367122" y="2037852"/>
          <a:ext cx="5404459" cy="3945260"/>
        </xdr:xfrm>
        <a:graphic>
          <a:graphicData uri="http://schemas.openxmlformats.org/drawingml/2006/chart">
            <c:chart xmlns:c="http://schemas.openxmlformats.org/drawingml/2006/chart" xmlns:r="http://schemas.openxmlformats.org/officeDocument/2006/relationships" r:id="rId4"/>
          </a:graphicData>
        </a:graphic>
      </xdr:graphicFrame>
      <mc:AlternateContent xmlns:mc="http://schemas.openxmlformats.org/markup-compatibility/2006">
        <mc:Choice xmlns:a14="http://schemas.microsoft.com/office/drawing/2010/main" Requires="a14">
          <xdr:graphicFrame macro="">
            <xdr:nvGraphicFramePr>
              <xdr:cNvPr id="20" name="Category 3">
                <a:extLst>
                  <a:ext uri="{FF2B5EF4-FFF2-40B4-BE49-F238E27FC236}">
                    <a16:creationId xmlns:a16="http://schemas.microsoft.com/office/drawing/2014/main" id="{10A9FA06-DCF9-4DE5-9C45-CC4E5D6F8F96}"/>
                  </a:ext>
                </a:extLst>
              </xdr:cNvPr>
              <xdr:cNvGraphicFramePr/>
            </xdr:nvGraphicFramePr>
            <xdr:xfrm>
              <a:off x="78295" y="1295785"/>
              <a:ext cx="2039363" cy="1507622"/>
            </xdr:xfrm>
            <a:graphic>
              <a:graphicData uri="http://schemas.microsoft.com/office/drawing/2010/slicer">
                <sle:slicer xmlns:sle="http://schemas.microsoft.com/office/drawing/2010/slicer" name="Category 3"/>
              </a:graphicData>
            </a:graphic>
          </xdr:graphicFrame>
        </mc:Choice>
        <mc:Fallback>
          <xdr:sp macro="" textlink="">
            <xdr:nvSpPr>
              <xdr:cNvPr id="0" name=""/>
              <xdr:cNvSpPr>
                <a:spLocks noTextEdit="1"/>
              </xdr:cNvSpPr>
            </xdr:nvSpPr>
            <xdr:spPr>
              <a:xfrm>
                <a:off x="78295" y="130816594"/>
                <a:ext cx="2039363" cy="15084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1" name="Supplier 1">
                <a:extLst>
                  <a:ext uri="{FF2B5EF4-FFF2-40B4-BE49-F238E27FC236}">
                    <a16:creationId xmlns:a16="http://schemas.microsoft.com/office/drawing/2014/main" id="{B0DCE070-F72C-455D-9EA7-F66668280069}"/>
                  </a:ext>
                </a:extLst>
              </xdr:cNvPr>
              <xdr:cNvGraphicFramePr/>
            </xdr:nvGraphicFramePr>
            <xdr:xfrm>
              <a:off x="99044" y="2913200"/>
              <a:ext cx="2022543" cy="1433022"/>
            </xdr:xfrm>
            <a:graphic>
              <a:graphicData uri="http://schemas.microsoft.com/office/drawing/2010/slicer">
                <sle:slicer xmlns:sle="http://schemas.microsoft.com/office/drawing/2010/slicer" name="Supplier 1"/>
              </a:graphicData>
            </a:graphic>
          </xdr:graphicFrame>
        </mc:Choice>
        <mc:Fallback>
          <xdr:sp macro="" textlink="">
            <xdr:nvSpPr>
              <xdr:cNvPr id="0" name=""/>
              <xdr:cNvSpPr>
                <a:spLocks noTextEdit="1"/>
              </xdr:cNvSpPr>
            </xdr:nvSpPr>
            <xdr:spPr>
              <a:xfrm>
                <a:off x="99044" y="132434948"/>
                <a:ext cx="2022543" cy="14338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2" name="Warehouse Location 1">
                <a:extLst>
                  <a:ext uri="{FF2B5EF4-FFF2-40B4-BE49-F238E27FC236}">
                    <a16:creationId xmlns:a16="http://schemas.microsoft.com/office/drawing/2014/main" id="{9EEB1B88-CDCD-4DBC-99C4-6BFF83107A94}"/>
                  </a:ext>
                </a:extLst>
              </xdr:cNvPr>
              <xdr:cNvGraphicFramePr/>
            </xdr:nvGraphicFramePr>
            <xdr:xfrm>
              <a:off x="95325" y="4419111"/>
              <a:ext cx="2018819" cy="1460519"/>
            </xdr:xfrm>
            <a:graphic>
              <a:graphicData uri="http://schemas.microsoft.com/office/drawing/2010/slicer">
                <sle:slicer xmlns:sle="http://schemas.microsoft.com/office/drawing/2010/slicer" name="Warehouse Location 1"/>
              </a:graphicData>
            </a:graphic>
          </xdr:graphicFrame>
        </mc:Choice>
        <mc:Fallback>
          <xdr:sp macro="" textlink="">
            <xdr:nvSpPr>
              <xdr:cNvPr id="0" name=""/>
              <xdr:cNvSpPr>
                <a:spLocks noTextEdit="1"/>
              </xdr:cNvSpPr>
            </xdr:nvSpPr>
            <xdr:spPr>
              <a:xfrm>
                <a:off x="95325" y="133941734"/>
                <a:ext cx="2018819" cy="14613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3" name="Stock Status 1">
                <a:extLst>
                  <a:ext uri="{FF2B5EF4-FFF2-40B4-BE49-F238E27FC236}">
                    <a16:creationId xmlns:a16="http://schemas.microsoft.com/office/drawing/2014/main" id="{AA983BB1-0E0B-4808-AA20-03C8E1DF97CA}"/>
                  </a:ext>
                </a:extLst>
              </xdr:cNvPr>
              <xdr:cNvGraphicFramePr/>
            </xdr:nvGraphicFramePr>
            <xdr:xfrm>
              <a:off x="11971562" y="1283560"/>
              <a:ext cx="2002148" cy="910112"/>
            </xdr:xfrm>
            <a:graphic>
              <a:graphicData uri="http://schemas.microsoft.com/office/drawing/2010/slicer">
                <sle:slicer xmlns:sle="http://schemas.microsoft.com/office/drawing/2010/slicer" name="Stock Status 1"/>
              </a:graphicData>
            </a:graphic>
          </xdr:graphicFrame>
        </mc:Choice>
        <mc:Fallback>
          <xdr:sp macro="" textlink="">
            <xdr:nvSpPr>
              <xdr:cNvPr id="0" name=""/>
              <xdr:cNvSpPr>
                <a:spLocks noTextEdit="1"/>
              </xdr:cNvSpPr>
            </xdr:nvSpPr>
            <xdr:spPr>
              <a:xfrm>
                <a:off x="11971562" y="130804362"/>
                <a:ext cx="2002148" cy="91064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24" name="Item Name 1">
                <a:extLst>
                  <a:ext uri="{FF2B5EF4-FFF2-40B4-BE49-F238E27FC236}">
                    <a16:creationId xmlns:a16="http://schemas.microsoft.com/office/drawing/2014/main" id="{D767357A-149A-4ACB-8AA2-A1806724D46B}"/>
                  </a:ext>
                </a:extLst>
              </xdr:cNvPr>
              <xdr:cNvGraphicFramePr/>
            </xdr:nvGraphicFramePr>
            <xdr:xfrm>
              <a:off x="11972552" y="2231811"/>
              <a:ext cx="2008600" cy="3624957"/>
            </xdr:xfrm>
            <a:graphic>
              <a:graphicData uri="http://schemas.microsoft.com/office/drawing/2010/slicer">
                <sle:slicer xmlns:sle="http://schemas.microsoft.com/office/drawing/2010/slicer" name="Item Name 1"/>
              </a:graphicData>
            </a:graphic>
          </xdr:graphicFrame>
        </mc:Choice>
        <mc:Fallback>
          <xdr:sp macro="" textlink="">
            <xdr:nvSpPr>
              <xdr:cNvPr id="0" name=""/>
              <xdr:cNvSpPr>
                <a:spLocks noTextEdit="1"/>
              </xdr:cNvSpPr>
            </xdr:nvSpPr>
            <xdr:spPr>
              <a:xfrm>
                <a:off x="11972552" y="131753163"/>
                <a:ext cx="2008600" cy="362706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0</xdr:colOff>
      <xdr:row>724</xdr:row>
      <xdr:rowOff>111760</xdr:rowOff>
    </xdr:from>
    <xdr:to>
      <xdr:col>21</xdr:col>
      <xdr:colOff>55294</xdr:colOff>
      <xdr:row>757</xdr:row>
      <xdr:rowOff>174130</xdr:rowOff>
    </xdr:to>
    <xdr:grpSp>
      <xdr:nvGrpSpPr>
        <xdr:cNvPr id="121" name="grpwarehouse" hidden="1">
          <a:extLst>
            <a:ext uri="{FF2B5EF4-FFF2-40B4-BE49-F238E27FC236}">
              <a16:creationId xmlns:a16="http://schemas.microsoft.com/office/drawing/2014/main" id="{2AD875AE-3D81-6329-0712-3FEA35D7FACC}"/>
            </a:ext>
          </a:extLst>
        </xdr:cNvPr>
        <xdr:cNvGrpSpPr/>
      </xdr:nvGrpSpPr>
      <xdr:grpSpPr>
        <a:xfrm>
          <a:off x="0" y="129520056"/>
          <a:ext cx="14081738" cy="5960815"/>
          <a:chOff x="47037" y="6218296"/>
          <a:chExt cx="14081738" cy="5964295"/>
        </a:xfrm>
      </xdr:grpSpPr>
      <xdr:sp macro="" textlink="">
        <xdr:nvSpPr>
          <xdr:cNvPr id="52" name="Rectangle: Top Corners Rounded 51" hidden="1">
            <a:extLst>
              <a:ext uri="{FF2B5EF4-FFF2-40B4-BE49-F238E27FC236}">
                <a16:creationId xmlns:a16="http://schemas.microsoft.com/office/drawing/2014/main" id="{AABCBE6D-0723-B60F-7C24-FA602F3548F7}"/>
              </a:ext>
            </a:extLst>
          </xdr:cNvPr>
          <xdr:cNvSpPr/>
        </xdr:nvSpPr>
        <xdr:spPr>
          <a:xfrm>
            <a:off x="47037" y="6218296"/>
            <a:ext cx="14072164" cy="1194364"/>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pic>
        <xdr:nvPicPr>
          <xdr:cNvPr id="53" name="Picture 52" hidden="1">
            <a:extLst>
              <a:ext uri="{FF2B5EF4-FFF2-40B4-BE49-F238E27FC236}">
                <a16:creationId xmlns:a16="http://schemas.microsoft.com/office/drawing/2014/main" id="{D53AAE28-71DA-1944-2390-2E8329A3A4FA}"/>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duotone>
              <a:srgbClr val="1CADE4">
                <a:shade val="45000"/>
                <a:satMod val="135000"/>
              </a:srgbClr>
              <a:prstClr val="white"/>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rcRect l="1657" t="27703" r="2578" b="13812"/>
          <a:stretch/>
        </xdr:blipFill>
        <xdr:spPr>
          <a:xfrm>
            <a:off x="161337" y="6286876"/>
            <a:ext cx="1260915" cy="104196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sp macro="" textlink="">
        <xdr:nvSpPr>
          <xdr:cNvPr id="54" name="Rectangle 53" hidden="1">
            <a:extLst>
              <a:ext uri="{FF2B5EF4-FFF2-40B4-BE49-F238E27FC236}">
                <a16:creationId xmlns:a16="http://schemas.microsoft.com/office/drawing/2014/main" id="{FED38F35-484D-42B8-0B5F-E3D94DB60149}"/>
              </a:ext>
            </a:extLst>
          </xdr:cNvPr>
          <xdr:cNvSpPr/>
        </xdr:nvSpPr>
        <xdr:spPr>
          <a:xfrm>
            <a:off x="1466709" y="6286877"/>
            <a:ext cx="12517967" cy="1049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u="none">
                <a:solidFill>
                  <a:schemeClr val="accent1"/>
                </a:solidFill>
                <a:latin typeface="Algerian" panose="04020705040A02060702" pitchFamily="82" charset="0"/>
              </a:rPr>
              <a:t>  </a:t>
            </a:r>
            <a:r>
              <a:rPr lang="en-IN" sz="2800" b="1" u="dbl">
                <a:solidFill>
                  <a:schemeClr val="accent1"/>
                </a:solidFill>
                <a:latin typeface="Algerian" panose="04020705040A02060702" pitchFamily="82" charset="0"/>
              </a:rPr>
              <a:t>Warehouse</a:t>
            </a:r>
            <a:r>
              <a:rPr lang="en-IN" sz="2800" b="1" u="none" baseline="0">
                <a:solidFill>
                  <a:schemeClr val="accent1"/>
                </a:solidFill>
                <a:latin typeface="Algerian" panose="04020705040A02060702" pitchFamily="82" charset="0"/>
              </a:rPr>
              <a:t> </a:t>
            </a:r>
            <a:r>
              <a:rPr lang="en-IN" sz="2800" b="1" u="dbl" baseline="0">
                <a:solidFill>
                  <a:schemeClr val="accent1"/>
                </a:solidFill>
                <a:latin typeface="Algerian" panose="04020705040A02060702" pitchFamily="82" charset="0"/>
              </a:rPr>
              <a:t>performance</a:t>
            </a:r>
            <a:endParaRPr lang="en-IN" sz="2800" b="1" u="dbl">
              <a:solidFill>
                <a:schemeClr val="accent1"/>
              </a:solidFill>
              <a:latin typeface="Algerian" panose="04020705040A02060702" pitchFamily="82" charset="0"/>
            </a:endParaRPr>
          </a:p>
        </xdr:txBody>
      </xdr:sp>
      <xdr:sp macro="[0]!Show_Restock" textlink="">
        <xdr:nvSpPr>
          <xdr:cNvPr id="55" name="Rectangle 54" hidden="1">
            <a:extLst>
              <a:ext uri="{FF2B5EF4-FFF2-40B4-BE49-F238E27FC236}">
                <a16:creationId xmlns:a16="http://schemas.microsoft.com/office/drawing/2014/main" id="{F8D2148E-5BD2-65D9-FE35-56235555BEE6}"/>
              </a:ext>
            </a:extLst>
          </xdr:cNvPr>
          <xdr:cNvSpPr/>
        </xdr:nvSpPr>
        <xdr:spPr>
          <a:xfrm>
            <a:off x="11782778" y="6948500"/>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u="sng"/>
              <a:t>Restocking</a:t>
            </a:r>
            <a:r>
              <a:rPr lang="en-IN" sz="1400" u="sng" baseline="0"/>
              <a:t> Trends</a:t>
            </a:r>
            <a:endParaRPr lang="en-IN" sz="1400" u="sng"/>
          </a:p>
        </xdr:txBody>
      </xdr:sp>
      <xdr:sp macro="[0]!Show_Category" textlink="">
        <xdr:nvSpPr>
          <xdr:cNvPr id="56" name="Rectangle 55" hidden="1">
            <a:extLst>
              <a:ext uri="{FF2B5EF4-FFF2-40B4-BE49-F238E27FC236}">
                <a16:creationId xmlns:a16="http://schemas.microsoft.com/office/drawing/2014/main" id="{91458E0D-4B88-CE6D-805F-8B941394F1B0}"/>
              </a:ext>
            </a:extLst>
          </xdr:cNvPr>
          <xdr:cNvSpPr/>
        </xdr:nvSpPr>
        <xdr:spPr>
          <a:xfrm>
            <a:off x="9278714" y="6918020"/>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Category-Wise</a:t>
            </a:r>
          </a:p>
        </xdr:txBody>
      </xdr:sp>
      <xdr:sp macro="[0]!Show_Supplier" textlink="">
        <xdr:nvSpPr>
          <xdr:cNvPr id="57" name="Rectangle 56" hidden="1">
            <a:extLst>
              <a:ext uri="{FF2B5EF4-FFF2-40B4-BE49-F238E27FC236}">
                <a16:creationId xmlns:a16="http://schemas.microsoft.com/office/drawing/2014/main" id="{3C9FE024-B02A-2A16-733F-E640893FCE23}"/>
              </a:ext>
            </a:extLst>
          </xdr:cNvPr>
          <xdr:cNvSpPr/>
        </xdr:nvSpPr>
        <xdr:spPr>
          <a:xfrm>
            <a:off x="6741536" y="6925640"/>
            <a:ext cx="1617792"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Supplier Analysis</a:t>
            </a:r>
          </a:p>
        </xdr:txBody>
      </xdr:sp>
      <xdr:sp macro="[0]!Show_Warehouse" textlink="">
        <xdr:nvSpPr>
          <xdr:cNvPr id="58" name="Rectangle 57" hidden="1">
            <a:extLst>
              <a:ext uri="{FF2B5EF4-FFF2-40B4-BE49-F238E27FC236}">
                <a16:creationId xmlns:a16="http://schemas.microsoft.com/office/drawing/2014/main" id="{34C527E9-A112-0A4C-318F-D618AC254195}"/>
              </a:ext>
            </a:extLst>
          </xdr:cNvPr>
          <xdr:cNvSpPr/>
        </xdr:nvSpPr>
        <xdr:spPr>
          <a:xfrm>
            <a:off x="4267953" y="6925640"/>
            <a:ext cx="1617791" cy="300661"/>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Warehouse</a:t>
            </a:r>
          </a:p>
        </xdr:txBody>
      </xdr:sp>
      <xdr:sp macro="" textlink="">
        <xdr:nvSpPr>
          <xdr:cNvPr id="59" name="Rectangle 58" hidden="1">
            <a:extLst>
              <a:ext uri="{FF2B5EF4-FFF2-40B4-BE49-F238E27FC236}">
                <a16:creationId xmlns:a16="http://schemas.microsoft.com/office/drawing/2014/main" id="{7F7128DF-9E58-11D6-9C82-96F372DF2625}"/>
              </a:ext>
            </a:extLst>
          </xdr:cNvPr>
          <xdr:cNvSpPr/>
        </xdr:nvSpPr>
        <xdr:spPr>
          <a:xfrm>
            <a:off x="65852" y="7477101"/>
            <a:ext cx="2167843" cy="469608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60" name="Rectangle 59" hidden="1">
            <a:extLst>
              <a:ext uri="{FF2B5EF4-FFF2-40B4-BE49-F238E27FC236}">
                <a16:creationId xmlns:a16="http://schemas.microsoft.com/office/drawing/2014/main" id="{8AFA0CD7-7160-26C0-A805-46B277C4C266}"/>
              </a:ext>
            </a:extLst>
          </xdr:cNvPr>
          <xdr:cNvSpPr/>
        </xdr:nvSpPr>
        <xdr:spPr>
          <a:xfrm>
            <a:off x="12003852" y="7454240"/>
            <a:ext cx="2124923" cy="4728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ow_Overview" textlink="">
        <xdr:nvSpPr>
          <xdr:cNvPr id="61" name="Rectangle 60" hidden="1">
            <a:extLst>
              <a:ext uri="{FF2B5EF4-FFF2-40B4-BE49-F238E27FC236}">
                <a16:creationId xmlns:a16="http://schemas.microsoft.com/office/drawing/2014/main" id="{A6FF597B-26E9-F1C9-F865-A4352819281C}"/>
              </a:ext>
            </a:extLst>
          </xdr:cNvPr>
          <xdr:cNvSpPr/>
        </xdr:nvSpPr>
        <xdr:spPr>
          <a:xfrm>
            <a:off x="1930009" y="6916761"/>
            <a:ext cx="1622410" cy="307874"/>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Overview</a:t>
            </a:r>
          </a:p>
        </xdr:txBody>
      </xdr:sp>
      <mc:AlternateContent xmlns:mc="http://schemas.openxmlformats.org/markup-compatibility/2006">
        <mc:Choice xmlns:a14="http://schemas.microsoft.com/office/drawing/2010/main" Requires="a14">
          <xdr:graphicFrame macro="">
            <xdr:nvGraphicFramePr>
              <xdr:cNvPr id="69" name="Category 4" hidden="1">
                <a:extLst>
                  <a:ext uri="{FF2B5EF4-FFF2-40B4-BE49-F238E27FC236}">
                    <a16:creationId xmlns:a16="http://schemas.microsoft.com/office/drawing/2014/main" id="{1FCED151-7EA8-D5E1-E3AF-7D855A213ED5}"/>
                  </a:ext>
                </a:extLst>
              </xdr:cNvPr>
              <xdr:cNvGraphicFramePr/>
            </xdr:nvGraphicFramePr>
            <xdr:xfrm>
              <a:off x="115925" y="10590303"/>
              <a:ext cx="2039363" cy="1507622"/>
            </xdr:xfrm>
            <a:graphic>
              <a:graphicData uri="http://schemas.microsoft.com/office/drawing/2010/slicer">
                <sle:slicer xmlns:sle="http://schemas.microsoft.com/office/drawing/2010/slicer" name="Category 4"/>
              </a:graphicData>
            </a:graphic>
          </xdr:graphicFrame>
        </mc:Choice>
        <mc:Fallback>
          <xdr:sp macro="" textlink="">
            <xdr:nvSpPr>
              <xdr:cNvPr id="0" name=""/>
              <xdr:cNvSpPr>
                <a:spLocks noTextEdit="1"/>
              </xdr:cNvSpPr>
            </xdr:nvSpPr>
            <xdr:spPr>
              <a:xfrm>
                <a:off x="68888" y="133889512"/>
                <a:ext cx="2039363" cy="15067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0" name="Supplier 2" hidden="1">
                <a:extLst>
                  <a:ext uri="{FF2B5EF4-FFF2-40B4-BE49-F238E27FC236}">
                    <a16:creationId xmlns:a16="http://schemas.microsoft.com/office/drawing/2014/main" id="{27E45F95-0D3E-4701-7A89-A48F8CBC9C43}"/>
                  </a:ext>
                </a:extLst>
              </xdr:cNvPr>
              <xdr:cNvGraphicFramePr/>
            </xdr:nvGraphicFramePr>
            <xdr:xfrm>
              <a:off x="127267" y="9093866"/>
              <a:ext cx="2022543" cy="1433022"/>
            </xdr:xfrm>
            <a:graphic>
              <a:graphicData uri="http://schemas.microsoft.com/office/drawing/2010/slicer">
                <sle:slicer xmlns:sle="http://schemas.microsoft.com/office/drawing/2010/slicer" name="Supplier 2"/>
              </a:graphicData>
            </a:graphic>
          </xdr:graphicFrame>
        </mc:Choice>
        <mc:Fallback>
          <xdr:sp macro="" textlink="">
            <xdr:nvSpPr>
              <xdr:cNvPr id="0" name=""/>
              <xdr:cNvSpPr>
                <a:spLocks noTextEdit="1"/>
              </xdr:cNvSpPr>
            </xdr:nvSpPr>
            <xdr:spPr>
              <a:xfrm>
                <a:off x="80230" y="132393948"/>
                <a:ext cx="2022543" cy="1432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1" name="Warehouse Location 2" hidden="1">
                <a:extLst>
                  <a:ext uri="{FF2B5EF4-FFF2-40B4-BE49-F238E27FC236}">
                    <a16:creationId xmlns:a16="http://schemas.microsoft.com/office/drawing/2014/main" id="{7A3F5867-05F0-DF10-D092-81CBD5F89E79}"/>
                  </a:ext>
                </a:extLst>
              </xdr:cNvPr>
              <xdr:cNvGraphicFramePr/>
            </xdr:nvGraphicFramePr>
            <xdr:xfrm>
              <a:off x="142363" y="7561185"/>
              <a:ext cx="2018819" cy="1460519"/>
            </xdr:xfrm>
            <a:graphic>
              <a:graphicData uri="http://schemas.microsoft.com/office/drawing/2010/slicer">
                <sle:slicer xmlns:sle="http://schemas.microsoft.com/office/drawing/2010/slicer" name="Warehouse Location 2"/>
              </a:graphicData>
            </a:graphic>
          </xdr:graphicFrame>
        </mc:Choice>
        <mc:Fallback>
          <xdr:sp macro="" textlink="">
            <xdr:nvSpPr>
              <xdr:cNvPr id="0" name=""/>
              <xdr:cNvSpPr>
                <a:spLocks noTextEdit="1"/>
              </xdr:cNvSpPr>
            </xdr:nvSpPr>
            <xdr:spPr>
              <a:xfrm>
                <a:off x="95326" y="130862161"/>
                <a:ext cx="2018819" cy="14596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2" name="Stock Status 2" hidden="1">
                <a:extLst>
                  <a:ext uri="{FF2B5EF4-FFF2-40B4-BE49-F238E27FC236}">
                    <a16:creationId xmlns:a16="http://schemas.microsoft.com/office/drawing/2014/main" id="{A74924A4-F600-427B-3A2F-4C8F0D4933CB}"/>
                  </a:ext>
                </a:extLst>
              </xdr:cNvPr>
              <xdr:cNvGraphicFramePr/>
            </xdr:nvGraphicFramePr>
            <xdr:xfrm>
              <a:off x="12056229" y="7511263"/>
              <a:ext cx="2002148" cy="910112"/>
            </xdr:xfrm>
            <a:graphic>
              <a:graphicData uri="http://schemas.microsoft.com/office/drawing/2010/slicer">
                <sle:slicer xmlns:sle="http://schemas.microsoft.com/office/drawing/2010/slicer" name="Stock Status 2"/>
              </a:graphicData>
            </a:graphic>
          </xdr:graphicFrame>
        </mc:Choice>
        <mc:Fallback>
          <xdr:sp macro="" textlink="">
            <xdr:nvSpPr>
              <xdr:cNvPr id="0" name=""/>
              <xdr:cNvSpPr>
                <a:spLocks noTextEdit="1"/>
              </xdr:cNvSpPr>
            </xdr:nvSpPr>
            <xdr:spPr>
              <a:xfrm>
                <a:off x="12009192" y="130812269"/>
                <a:ext cx="2002148" cy="9095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3" name="Item Name 2" hidden="1">
                <a:extLst>
                  <a:ext uri="{FF2B5EF4-FFF2-40B4-BE49-F238E27FC236}">
                    <a16:creationId xmlns:a16="http://schemas.microsoft.com/office/drawing/2014/main" id="{040A99EC-97A4-FF81-4380-FB3401253B96}"/>
                  </a:ext>
                </a:extLst>
              </xdr:cNvPr>
              <xdr:cNvGraphicFramePr/>
            </xdr:nvGraphicFramePr>
            <xdr:xfrm>
              <a:off x="12066627" y="8459514"/>
              <a:ext cx="2008600" cy="3624957"/>
            </xdr:xfrm>
            <a:graphic>
              <a:graphicData uri="http://schemas.microsoft.com/office/drawing/2010/slicer">
                <sle:slicer xmlns:sle="http://schemas.microsoft.com/office/drawing/2010/slicer" name="Item Name 2"/>
              </a:graphicData>
            </a:graphic>
          </xdr:graphicFrame>
        </mc:Choice>
        <mc:Fallback>
          <xdr:sp macro="" textlink="">
            <xdr:nvSpPr>
              <xdr:cNvPr id="0" name=""/>
              <xdr:cNvSpPr>
                <a:spLocks noTextEdit="1"/>
              </xdr:cNvSpPr>
            </xdr:nvSpPr>
            <xdr:spPr>
              <a:xfrm>
                <a:off x="12019590" y="131759966"/>
                <a:ext cx="2008600" cy="36228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74" name="Chart 73" hidden="1">
            <a:extLst>
              <a:ext uri="{FF2B5EF4-FFF2-40B4-BE49-F238E27FC236}">
                <a16:creationId xmlns:a16="http://schemas.microsoft.com/office/drawing/2014/main" id="{0F3E9B97-D02E-4948-BD08-E9FEA8162E55}"/>
              </a:ext>
            </a:extLst>
          </xdr:cNvPr>
          <xdr:cNvGraphicFramePr>
            <a:graphicFrameLocks/>
          </xdr:cNvGraphicFramePr>
        </xdr:nvGraphicFramePr>
        <xdr:xfrm>
          <a:off x="2323630" y="9840148"/>
          <a:ext cx="9567333" cy="2338681"/>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75" name="Chart 74" hidden="1">
            <a:extLst>
              <a:ext uri="{FF2B5EF4-FFF2-40B4-BE49-F238E27FC236}">
                <a16:creationId xmlns:a16="http://schemas.microsoft.com/office/drawing/2014/main" id="{91313481-0537-472C-A77B-CCA0BD05F045}"/>
              </a:ext>
            </a:extLst>
          </xdr:cNvPr>
          <xdr:cNvGraphicFramePr>
            <a:graphicFrameLocks/>
          </xdr:cNvGraphicFramePr>
        </xdr:nvGraphicFramePr>
        <xdr:xfrm>
          <a:off x="2314222" y="7469481"/>
          <a:ext cx="4694297" cy="2323629"/>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 name="Chart 1" hidden="1">
            <a:extLst>
              <a:ext uri="{FF2B5EF4-FFF2-40B4-BE49-F238E27FC236}">
                <a16:creationId xmlns:a16="http://schemas.microsoft.com/office/drawing/2014/main" id="{F30ED017-2017-443B-A0CA-110B7D56089C}"/>
              </a:ext>
            </a:extLst>
          </xdr:cNvPr>
          <xdr:cNvGraphicFramePr>
            <a:graphicFrameLocks/>
          </xdr:cNvGraphicFramePr>
        </xdr:nvGraphicFramePr>
        <xdr:xfrm>
          <a:off x="7064963" y="7488296"/>
          <a:ext cx="4826000" cy="2276593"/>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xdr:from>
      <xdr:col>0</xdr:col>
      <xdr:colOff>0</xdr:colOff>
      <xdr:row>724</xdr:row>
      <xdr:rowOff>111760</xdr:rowOff>
    </xdr:from>
    <xdr:to>
      <xdr:col>21</xdr:col>
      <xdr:colOff>55294</xdr:colOff>
      <xdr:row>758</xdr:row>
      <xdr:rowOff>11759</xdr:rowOff>
    </xdr:to>
    <xdr:grpSp>
      <xdr:nvGrpSpPr>
        <xdr:cNvPr id="30" name="grpSupplier" hidden="1">
          <a:extLst>
            <a:ext uri="{FF2B5EF4-FFF2-40B4-BE49-F238E27FC236}">
              <a16:creationId xmlns:a16="http://schemas.microsoft.com/office/drawing/2014/main" id="{F32D8748-C6E3-00E2-CB82-53437AE00241}"/>
            </a:ext>
          </a:extLst>
        </xdr:cNvPr>
        <xdr:cNvGrpSpPr/>
      </xdr:nvGrpSpPr>
      <xdr:grpSpPr>
        <a:xfrm>
          <a:off x="0" y="129520056"/>
          <a:ext cx="14081738" cy="5977184"/>
          <a:chOff x="75260" y="12380147"/>
          <a:chExt cx="14081738" cy="5973704"/>
        </a:xfrm>
      </xdr:grpSpPr>
      <xdr:sp macro="" textlink="">
        <xdr:nvSpPr>
          <xdr:cNvPr id="50" name="Rectangle: Top Corners Rounded 49" hidden="1">
            <a:extLst>
              <a:ext uri="{FF2B5EF4-FFF2-40B4-BE49-F238E27FC236}">
                <a16:creationId xmlns:a16="http://schemas.microsoft.com/office/drawing/2014/main" id="{26493141-7E40-8FB4-10B0-8A211566758E}"/>
              </a:ext>
            </a:extLst>
          </xdr:cNvPr>
          <xdr:cNvSpPr/>
        </xdr:nvSpPr>
        <xdr:spPr>
          <a:xfrm>
            <a:off x="75260" y="12380147"/>
            <a:ext cx="14072164" cy="1194364"/>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pic>
        <xdr:nvPicPr>
          <xdr:cNvPr id="62" name="Picture 61" hidden="1">
            <a:extLst>
              <a:ext uri="{FF2B5EF4-FFF2-40B4-BE49-F238E27FC236}">
                <a16:creationId xmlns:a16="http://schemas.microsoft.com/office/drawing/2014/main" id="{39298478-CDAB-7196-020C-D064FA2CF3EB}"/>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duotone>
              <a:srgbClr val="1CADE4">
                <a:shade val="45000"/>
                <a:satMod val="135000"/>
              </a:srgbClr>
              <a:prstClr val="white"/>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rcRect l="1657" t="27703" r="2578" b="13812"/>
          <a:stretch/>
        </xdr:blipFill>
        <xdr:spPr>
          <a:xfrm>
            <a:off x="189560" y="12448727"/>
            <a:ext cx="1260915" cy="104196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sp macro="" textlink="">
        <xdr:nvSpPr>
          <xdr:cNvPr id="63" name="Rectangle 62" hidden="1">
            <a:extLst>
              <a:ext uri="{FF2B5EF4-FFF2-40B4-BE49-F238E27FC236}">
                <a16:creationId xmlns:a16="http://schemas.microsoft.com/office/drawing/2014/main" id="{A69FD650-83A9-552F-DE02-C5806FB1D6A3}"/>
              </a:ext>
            </a:extLst>
          </xdr:cNvPr>
          <xdr:cNvSpPr/>
        </xdr:nvSpPr>
        <xdr:spPr>
          <a:xfrm>
            <a:off x="1494932" y="12448728"/>
            <a:ext cx="12517967" cy="1049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u="dbl">
                <a:solidFill>
                  <a:schemeClr val="accent1"/>
                </a:solidFill>
                <a:latin typeface="Algerian" panose="04020705040A02060702" pitchFamily="82" charset="0"/>
              </a:rPr>
              <a:t>Supplier</a:t>
            </a:r>
            <a:r>
              <a:rPr lang="en-IN" sz="2800" b="1" u="none" baseline="0">
                <a:solidFill>
                  <a:schemeClr val="accent1"/>
                </a:solidFill>
                <a:latin typeface="Algerian" panose="04020705040A02060702" pitchFamily="82" charset="0"/>
              </a:rPr>
              <a:t> </a:t>
            </a:r>
            <a:r>
              <a:rPr lang="en-IN" sz="2800" b="1" u="dbl" baseline="0">
                <a:solidFill>
                  <a:schemeClr val="accent1"/>
                </a:solidFill>
                <a:latin typeface="Algerian" panose="04020705040A02060702" pitchFamily="82" charset="0"/>
              </a:rPr>
              <a:t>Analysis</a:t>
            </a:r>
            <a:endParaRPr lang="en-IN" sz="2800" b="1" u="dbl">
              <a:solidFill>
                <a:schemeClr val="accent1"/>
              </a:solidFill>
              <a:latin typeface="Algerian" panose="04020705040A02060702" pitchFamily="82" charset="0"/>
            </a:endParaRPr>
          </a:p>
        </xdr:txBody>
      </xdr:sp>
      <xdr:sp macro="[0]!Show_Restock" textlink="">
        <xdr:nvSpPr>
          <xdr:cNvPr id="64" name="Rectangle 63" hidden="1">
            <a:extLst>
              <a:ext uri="{FF2B5EF4-FFF2-40B4-BE49-F238E27FC236}">
                <a16:creationId xmlns:a16="http://schemas.microsoft.com/office/drawing/2014/main" id="{7BCEB480-81C9-9105-E017-571F811B2E33}"/>
              </a:ext>
            </a:extLst>
          </xdr:cNvPr>
          <xdr:cNvSpPr/>
        </xdr:nvSpPr>
        <xdr:spPr>
          <a:xfrm>
            <a:off x="11811001" y="13110351"/>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u="sng"/>
              <a:t>Restocking</a:t>
            </a:r>
            <a:r>
              <a:rPr lang="en-IN" sz="1400" u="sng" baseline="0"/>
              <a:t> Trends</a:t>
            </a:r>
            <a:endParaRPr lang="en-IN" sz="1400" u="sng"/>
          </a:p>
        </xdr:txBody>
      </xdr:sp>
      <xdr:sp macro="[0]!Show_Category" textlink="">
        <xdr:nvSpPr>
          <xdr:cNvPr id="65" name="Rectangle 64" hidden="1">
            <a:extLst>
              <a:ext uri="{FF2B5EF4-FFF2-40B4-BE49-F238E27FC236}">
                <a16:creationId xmlns:a16="http://schemas.microsoft.com/office/drawing/2014/main" id="{696BB5D6-40D0-723B-95A0-D0E89861650E}"/>
              </a:ext>
            </a:extLst>
          </xdr:cNvPr>
          <xdr:cNvSpPr/>
        </xdr:nvSpPr>
        <xdr:spPr>
          <a:xfrm>
            <a:off x="9306937" y="13079871"/>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Category-Wise</a:t>
            </a:r>
          </a:p>
        </xdr:txBody>
      </xdr:sp>
      <xdr:sp macro="[0]!Show_Supplier" textlink="">
        <xdr:nvSpPr>
          <xdr:cNvPr id="66" name="Rectangle 65" hidden="1">
            <a:extLst>
              <a:ext uri="{FF2B5EF4-FFF2-40B4-BE49-F238E27FC236}">
                <a16:creationId xmlns:a16="http://schemas.microsoft.com/office/drawing/2014/main" id="{18C77366-2076-2585-F219-7903929C6C43}"/>
              </a:ext>
            </a:extLst>
          </xdr:cNvPr>
          <xdr:cNvSpPr/>
        </xdr:nvSpPr>
        <xdr:spPr>
          <a:xfrm>
            <a:off x="6769759" y="13087491"/>
            <a:ext cx="1617792" cy="300661"/>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Supplier Analysis</a:t>
            </a:r>
          </a:p>
        </xdr:txBody>
      </xdr:sp>
      <xdr:sp macro="[0]!Show_Warehouse" textlink="">
        <xdr:nvSpPr>
          <xdr:cNvPr id="67" name="Rectangle 66" hidden="1">
            <a:extLst>
              <a:ext uri="{FF2B5EF4-FFF2-40B4-BE49-F238E27FC236}">
                <a16:creationId xmlns:a16="http://schemas.microsoft.com/office/drawing/2014/main" id="{4F632AC9-785F-0D4D-5770-75F9886524F0}"/>
              </a:ext>
            </a:extLst>
          </xdr:cNvPr>
          <xdr:cNvSpPr/>
        </xdr:nvSpPr>
        <xdr:spPr>
          <a:xfrm>
            <a:off x="4296176" y="13087491"/>
            <a:ext cx="1617791"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Warehouse</a:t>
            </a:r>
          </a:p>
        </xdr:txBody>
      </xdr:sp>
      <xdr:sp macro="" textlink="">
        <xdr:nvSpPr>
          <xdr:cNvPr id="68" name="Rectangle 67" hidden="1">
            <a:extLst>
              <a:ext uri="{FF2B5EF4-FFF2-40B4-BE49-F238E27FC236}">
                <a16:creationId xmlns:a16="http://schemas.microsoft.com/office/drawing/2014/main" id="{9097CBBD-C8B8-B76C-2BA9-005821C95BBF}"/>
              </a:ext>
            </a:extLst>
          </xdr:cNvPr>
          <xdr:cNvSpPr/>
        </xdr:nvSpPr>
        <xdr:spPr>
          <a:xfrm>
            <a:off x="75260" y="13629545"/>
            <a:ext cx="2167843" cy="469608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6" name="Rectangle 75" hidden="1">
            <a:extLst>
              <a:ext uri="{FF2B5EF4-FFF2-40B4-BE49-F238E27FC236}">
                <a16:creationId xmlns:a16="http://schemas.microsoft.com/office/drawing/2014/main" id="{3E21E6F8-DC88-7ACD-8F17-7DA246D0F365}"/>
              </a:ext>
            </a:extLst>
          </xdr:cNvPr>
          <xdr:cNvSpPr/>
        </xdr:nvSpPr>
        <xdr:spPr>
          <a:xfrm>
            <a:off x="12032075" y="13616091"/>
            <a:ext cx="2124923" cy="4728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ow_Overview" textlink="">
        <xdr:nvSpPr>
          <xdr:cNvPr id="77" name="Rectangle 76" hidden="1">
            <a:extLst>
              <a:ext uri="{FF2B5EF4-FFF2-40B4-BE49-F238E27FC236}">
                <a16:creationId xmlns:a16="http://schemas.microsoft.com/office/drawing/2014/main" id="{A2211173-0285-3BB2-5572-9C6C102001B9}"/>
              </a:ext>
            </a:extLst>
          </xdr:cNvPr>
          <xdr:cNvSpPr/>
        </xdr:nvSpPr>
        <xdr:spPr>
          <a:xfrm>
            <a:off x="1958232" y="13078612"/>
            <a:ext cx="1622410" cy="307874"/>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Overview</a:t>
            </a:r>
          </a:p>
        </xdr:txBody>
      </xdr:sp>
      <mc:AlternateContent xmlns:mc="http://schemas.openxmlformats.org/markup-compatibility/2006">
        <mc:Choice xmlns:a14="http://schemas.microsoft.com/office/drawing/2010/main" Requires="a14">
          <xdr:graphicFrame macro="">
            <xdr:nvGraphicFramePr>
              <xdr:cNvPr id="78" name="Category 6" hidden="1">
                <a:extLst>
                  <a:ext uri="{FF2B5EF4-FFF2-40B4-BE49-F238E27FC236}">
                    <a16:creationId xmlns:a16="http://schemas.microsoft.com/office/drawing/2014/main" id="{D25C8CD1-43C5-EDC0-F198-0F5117A801B1}"/>
                  </a:ext>
                </a:extLst>
              </xdr:cNvPr>
              <xdr:cNvGraphicFramePr/>
            </xdr:nvGraphicFramePr>
            <xdr:xfrm>
              <a:off x="125332" y="15228155"/>
              <a:ext cx="2039363" cy="1507622"/>
            </xdr:xfrm>
            <a:graphic>
              <a:graphicData uri="http://schemas.microsoft.com/office/drawing/2010/slicer">
                <sle:slicer xmlns:sle="http://schemas.microsoft.com/office/drawing/2010/slicer" name="Category 6"/>
              </a:graphicData>
            </a:graphic>
          </xdr:graphicFrame>
        </mc:Choice>
        <mc:Fallback>
          <xdr:sp macro="" textlink="">
            <xdr:nvSpPr>
              <xdr:cNvPr id="0" name=""/>
              <xdr:cNvSpPr>
                <a:spLocks noTextEdit="1"/>
              </xdr:cNvSpPr>
            </xdr:nvSpPr>
            <xdr:spPr>
              <a:xfrm>
                <a:off x="50072" y="132369723"/>
                <a:ext cx="2039363" cy="1508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9" name="Supplier 4" hidden="1">
                <a:extLst>
                  <a:ext uri="{FF2B5EF4-FFF2-40B4-BE49-F238E27FC236}">
                    <a16:creationId xmlns:a16="http://schemas.microsoft.com/office/drawing/2014/main" id="{E302B32F-0FB1-744C-28AE-CFE1728BF883}"/>
                  </a:ext>
                </a:extLst>
              </xdr:cNvPr>
              <xdr:cNvGraphicFramePr/>
            </xdr:nvGraphicFramePr>
            <xdr:xfrm>
              <a:off x="146083" y="13741124"/>
              <a:ext cx="2022543" cy="1433022"/>
            </xdr:xfrm>
            <a:graphic>
              <a:graphicData uri="http://schemas.microsoft.com/office/drawing/2010/slicer">
                <sle:slicer xmlns:sle="http://schemas.microsoft.com/office/drawing/2010/slicer" name="Supplier 4"/>
              </a:graphicData>
            </a:graphic>
          </xdr:graphicFrame>
        </mc:Choice>
        <mc:Fallback>
          <xdr:sp macro="" textlink="">
            <xdr:nvSpPr>
              <xdr:cNvPr id="0" name=""/>
              <xdr:cNvSpPr>
                <a:spLocks noTextEdit="1"/>
              </xdr:cNvSpPr>
            </xdr:nvSpPr>
            <xdr:spPr>
              <a:xfrm>
                <a:off x="70823" y="130881826"/>
                <a:ext cx="2022543" cy="143385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0" name="Warehouse Location 4" hidden="1">
                <a:extLst>
                  <a:ext uri="{FF2B5EF4-FFF2-40B4-BE49-F238E27FC236}">
                    <a16:creationId xmlns:a16="http://schemas.microsoft.com/office/drawing/2014/main" id="{4F480C58-4C59-918D-B79F-3B02825F8F28}"/>
                  </a:ext>
                </a:extLst>
              </xdr:cNvPr>
              <xdr:cNvGraphicFramePr/>
            </xdr:nvGraphicFramePr>
            <xdr:xfrm>
              <a:off x="132956" y="16808666"/>
              <a:ext cx="2018819" cy="1460519"/>
            </xdr:xfrm>
            <a:graphic>
              <a:graphicData uri="http://schemas.microsoft.com/office/drawing/2010/slicer">
                <sle:slicer xmlns:sle="http://schemas.microsoft.com/office/drawing/2010/slicer" name="Warehouse Location 4"/>
              </a:graphicData>
            </a:graphic>
          </xdr:graphicFrame>
        </mc:Choice>
        <mc:Fallback>
          <xdr:sp macro="" textlink="">
            <xdr:nvSpPr>
              <xdr:cNvPr id="0" name=""/>
              <xdr:cNvSpPr>
                <a:spLocks noTextEdit="1"/>
              </xdr:cNvSpPr>
            </xdr:nvSpPr>
            <xdr:spPr>
              <a:xfrm>
                <a:off x="57696" y="133951155"/>
                <a:ext cx="2018819" cy="146137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1" name="Stock Status 4" hidden="1">
                <a:extLst>
                  <a:ext uri="{FF2B5EF4-FFF2-40B4-BE49-F238E27FC236}">
                    <a16:creationId xmlns:a16="http://schemas.microsoft.com/office/drawing/2014/main" id="{CDB8B9C3-00D1-3DBB-0756-F3A275CBFF61}"/>
                  </a:ext>
                </a:extLst>
              </xdr:cNvPr>
              <xdr:cNvGraphicFramePr/>
            </xdr:nvGraphicFramePr>
            <xdr:xfrm>
              <a:off x="12084452" y="13673114"/>
              <a:ext cx="2002148" cy="910112"/>
            </xdr:xfrm>
            <a:graphic>
              <a:graphicData uri="http://schemas.microsoft.com/office/drawing/2010/slicer">
                <sle:slicer xmlns:sle="http://schemas.microsoft.com/office/drawing/2010/slicer" name="Stock Status 4"/>
              </a:graphicData>
            </a:graphic>
          </xdr:graphicFrame>
        </mc:Choice>
        <mc:Fallback>
          <xdr:sp macro="" textlink="">
            <xdr:nvSpPr>
              <xdr:cNvPr id="0" name=""/>
              <xdr:cNvSpPr>
                <a:spLocks noTextEdit="1"/>
              </xdr:cNvSpPr>
            </xdr:nvSpPr>
            <xdr:spPr>
              <a:xfrm>
                <a:off x="12009192" y="130813776"/>
                <a:ext cx="2002148" cy="9106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82" name="Item Name 4" hidden="1">
                <a:extLst>
                  <a:ext uri="{FF2B5EF4-FFF2-40B4-BE49-F238E27FC236}">
                    <a16:creationId xmlns:a16="http://schemas.microsoft.com/office/drawing/2014/main" id="{4DB0828E-0566-ED18-1ED6-D227253E8216}"/>
                  </a:ext>
                </a:extLst>
              </xdr:cNvPr>
              <xdr:cNvGraphicFramePr/>
            </xdr:nvGraphicFramePr>
            <xdr:xfrm>
              <a:off x="12094850" y="14621365"/>
              <a:ext cx="2008600" cy="3624957"/>
            </xdr:xfrm>
            <a:graphic>
              <a:graphicData uri="http://schemas.microsoft.com/office/drawing/2010/slicer">
                <sle:slicer xmlns:sle="http://schemas.microsoft.com/office/drawing/2010/slicer" name="Item Name 4"/>
              </a:graphicData>
            </a:graphic>
          </xdr:graphicFrame>
        </mc:Choice>
        <mc:Fallback>
          <xdr:sp macro="" textlink="">
            <xdr:nvSpPr>
              <xdr:cNvPr id="0" name=""/>
              <xdr:cNvSpPr>
                <a:spLocks noTextEdit="1"/>
              </xdr:cNvSpPr>
            </xdr:nvSpPr>
            <xdr:spPr>
              <a:xfrm>
                <a:off x="12019590" y="131762580"/>
                <a:ext cx="2008600" cy="36270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118" name="Chart 117" hidden="1">
            <a:extLst>
              <a:ext uri="{FF2B5EF4-FFF2-40B4-BE49-F238E27FC236}">
                <a16:creationId xmlns:a16="http://schemas.microsoft.com/office/drawing/2014/main" id="{36EDD559-7FCC-4796-A56F-3BE2C02DCDAC}"/>
              </a:ext>
            </a:extLst>
          </xdr:cNvPr>
          <xdr:cNvGraphicFramePr>
            <a:graphicFrameLocks/>
          </xdr:cNvGraphicFramePr>
        </xdr:nvGraphicFramePr>
        <xdr:xfrm>
          <a:off x="2314224" y="13650149"/>
          <a:ext cx="4769554" cy="2370666"/>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19" name="Chart 118" hidden="1">
            <a:extLst>
              <a:ext uri="{FF2B5EF4-FFF2-40B4-BE49-F238E27FC236}">
                <a16:creationId xmlns:a16="http://schemas.microsoft.com/office/drawing/2014/main" id="{9E53A808-37E4-48AD-9410-BEC2D50EEE22}"/>
              </a:ext>
            </a:extLst>
          </xdr:cNvPr>
          <xdr:cNvGraphicFramePr>
            <a:graphicFrameLocks/>
          </xdr:cNvGraphicFramePr>
        </xdr:nvGraphicFramePr>
        <xdr:xfrm>
          <a:off x="7130815" y="13650148"/>
          <a:ext cx="4816592" cy="235185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20" name="Chart 119" hidden="1">
            <a:extLst>
              <a:ext uri="{FF2B5EF4-FFF2-40B4-BE49-F238E27FC236}">
                <a16:creationId xmlns:a16="http://schemas.microsoft.com/office/drawing/2014/main" id="{05F1F4AF-BE20-43CF-A6ED-8ED025A02847}"/>
              </a:ext>
            </a:extLst>
          </xdr:cNvPr>
          <xdr:cNvGraphicFramePr>
            <a:graphicFrameLocks/>
          </xdr:cNvGraphicFramePr>
        </xdr:nvGraphicFramePr>
        <xdr:xfrm>
          <a:off x="2304814" y="16077260"/>
          <a:ext cx="9652000" cy="2276591"/>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0</xdr:col>
      <xdr:colOff>0</xdr:colOff>
      <xdr:row>724</xdr:row>
      <xdr:rowOff>111760</xdr:rowOff>
    </xdr:from>
    <xdr:to>
      <xdr:col>21</xdr:col>
      <xdr:colOff>55294</xdr:colOff>
      <xdr:row>757</xdr:row>
      <xdr:rowOff>174130</xdr:rowOff>
    </xdr:to>
    <xdr:grpSp>
      <xdr:nvGrpSpPr>
        <xdr:cNvPr id="31" name="grpcategory" hidden="1">
          <a:extLst>
            <a:ext uri="{FF2B5EF4-FFF2-40B4-BE49-F238E27FC236}">
              <a16:creationId xmlns:a16="http://schemas.microsoft.com/office/drawing/2014/main" id="{62D85231-1176-899D-2C62-D5D8F136E1F6}"/>
            </a:ext>
          </a:extLst>
        </xdr:cNvPr>
        <xdr:cNvGrpSpPr/>
      </xdr:nvGrpSpPr>
      <xdr:grpSpPr>
        <a:xfrm>
          <a:off x="0" y="129520056"/>
          <a:ext cx="14081738" cy="5960815"/>
          <a:chOff x="103482" y="18560815"/>
          <a:chExt cx="14081738" cy="5964295"/>
        </a:xfrm>
      </xdr:grpSpPr>
      <xdr:sp macro="" textlink="">
        <xdr:nvSpPr>
          <xdr:cNvPr id="87" name="Rectangle: Top Corners Rounded 86" hidden="1">
            <a:extLst>
              <a:ext uri="{FF2B5EF4-FFF2-40B4-BE49-F238E27FC236}">
                <a16:creationId xmlns:a16="http://schemas.microsoft.com/office/drawing/2014/main" id="{60E7B2D4-332A-6275-F879-539F98A0FDEF}"/>
              </a:ext>
            </a:extLst>
          </xdr:cNvPr>
          <xdr:cNvSpPr/>
        </xdr:nvSpPr>
        <xdr:spPr>
          <a:xfrm>
            <a:off x="103482" y="18560815"/>
            <a:ext cx="14072164" cy="1194364"/>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pic>
        <xdr:nvPicPr>
          <xdr:cNvPr id="88" name="Picture 87" hidden="1">
            <a:extLst>
              <a:ext uri="{FF2B5EF4-FFF2-40B4-BE49-F238E27FC236}">
                <a16:creationId xmlns:a16="http://schemas.microsoft.com/office/drawing/2014/main" id="{771FE587-D914-6276-26BD-4723B6E08CBC}"/>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duotone>
              <a:srgbClr val="1CADE4">
                <a:shade val="45000"/>
                <a:satMod val="135000"/>
              </a:srgbClr>
              <a:prstClr val="white"/>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rcRect l="1657" t="27703" r="2578" b="13812"/>
          <a:stretch/>
        </xdr:blipFill>
        <xdr:spPr>
          <a:xfrm>
            <a:off x="217782" y="18629395"/>
            <a:ext cx="1260915" cy="104196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sp macro="" textlink="">
        <xdr:nvSpPr>
          <xdr:cNvPr id="89" name="Rectangle 88" hidden="1">
            <a:extLst>
              <a:ext uri="{FF2B5EF4-FFF2-40B4-BE49-F238E27FC236}">
                <a16:creationId xmlns:a16="http://schemas.microsoft.com/office/drawing/2014/main" id="{0AF545B1-9171-FE50-E3D3-E0FCD73E05FF}"/>
              </a:ext>
            </a:extLst>
          </xdr:cNvPr>
          <xdr:cNvSpPr/>
        </xdr:nvSpPr>
        <xdr:spPr>
          <a:xfrm>
            <a:off x="1523154" y="18629396"/>
            <a:ext cx="12517967" cy="1049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u="dbl">
                <a:solidFill>
                  <a:schemeClr val="accent1"/>
                </a:solidFill>
                <a:latin typeface="Algerian" panose="04020705040A02060702" pitchFamily="82" charset="0"/>
              </a:rPr>
              <a:t>Category-Wise</a:t>
            </a:r>
            <a:r>
              <a:rPr lang="en-IN" sz="2800" b="1" u="none" baseline="0">
                <a:solidFill>
                  <a:schemeClr val="accent1"/>
                </a:solidFill>
                <a:latin typeface="Algerian" panose="04020705040A02060702" pitchFamily="82" charset="0"/>
              </a:rPr>
              <a:t> </a:t>
            </a:r>
            <a:r>
              <a:rPr lang="en-IN" sz="2800" b="1" u="dbl" baseline="0">
                <a:solidFill>
                  <a:schemeClr val="accent1"/>
                </a:solidFill>
                <a:latin typeface="Algerian" panose="04020705040A02060702" pitchFamily="82" charset="0"/>
              </a:rPr>
              <a:t>Drilldown</a:t>
            </a:r>
            <a:endParaRPr lang="en-IN" sz="2800" b="1" u="dbl">
              <a:solidFill>
                <a:schemeClr val="accent1"/>
              </a:solidFill>
              <a:latin typeface="Algerian" panose="04020705040A02060702" pitchFamily="82" charset="0"/>
            </a:endParaRPr>
          </a:p>
        </xdr:txBody>
      </xdr:sp>
      <xdr:sp macro="[0]!Show_Restock" textlink="">
        <xdr:nvSpPr>
          <xdr:cNvPr id="90" name="Rectangle 89" hidden="1">
            <a:extLst>
              <a:ext uri="{FF2B5EF4-FFF2-40B4-BE49-F238E27FC236}">
                <a16:creationId xmlns:a16="http://schemas.microsoft.com/office/drawing/2014/main" id="{2D366A12-029B-5282-6F11-66B710E6497B}"/>
              </a:ext>
            </a:extLst>
          </xdr:cNvPr>
          <xdr:cNvSpPr/>
        </xdr:nvSpPr>
        <xdr:spPr>
          <a:xfrm>
            <a:off x="11839223" y="19291019"/>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u="sng"/>
              <a:t>Restocking</a:t>
            </a:r>
            <a:r>
              <a:rPr lang="en-IN" sz="1400" u="sng" baseline="0"/>
              <a:t> Trends</a:t>
            </a:r>
            <a:endParaRPr lang="en-IN" sz="1400" u="sng"/>
          </a:p>
        </xdr:txBody>
      </xdr:sp>
      <xdr:sp macro="[0]!Show_Category" textlink="">
        <xdr:nvSpPr>
          <xdr:cNvPr id="91" name="Rectangle 90" hidden="1">
            <a:extLst>
              <a:ext uri="{FF2B5EF4-FFF2-40B4-BE49-F238E27FC236}">
                <a16:creationId xmlns:a16="http://schemas.microsoft.com/office/drawing/2014/main" id="{9C9CF828-D3E4-C5FA-3D02-E8892E730339}"/>
              </a:ext>
            </a:extLst>
          </xdr:cNvPr>
          <xdr:cNvSpPr/>
        </xdr:nvSpPr>
        <xdr:spPr>
          <a:xfrm>
            <a:off x="9335159" y="19260539"/>
            <a:ext cx="1615158" cy="300661"/>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Category-Wise</a:t>
            </a:r>
          </a:p>
        </xdr:txBody>
      </xdr:sp>
      <xdr:sp macro="[0]!Show_Supplier" textlink="">
        <xdr:nvSpPr>
          <xdr:cNvPr id="92" name="Rectangle 91" hidden="1">
            <a:extLst>
              <a:ext uri="{FF2B5EF4-FFF2-40B4-BE49-F238E27FC236}">
                <a16:creationId xmlns:a16="http://schemas.microsoft.com/office/drawing/2014/main" id="{FE74ED76-6B02-73C7-2299-2477E1364340}"/>
              </a:ext>
            </a:extLst>
          </xdr:cNvPr>
          <xdr:cNvSpPr/>
        </xdr:nvSpPr>
        <xdr:spPr>
          <a:xfrm>
            <a:off x="6797981" y="19268159"/>
            <a:ext cx="1617792"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Supplier Analysis</a:t>
            </a:r>
          </a:p>
        </xdr:txBody>
      </xdr:sp>
      <xdr:sp macro="[0]!Show_Warehouse" textlink="">
        <xdr:nvSpPr>
          <xdr:cNvPr id="93" name="Rectangle 92" hidden="1">
            <a:extLst>
              <a:ext uri="{FF2B5EF4-FFF2-40B4-BE49-F238E27FC236}">
                <a16:creationId xmlns:a16="http://schemas.microsoft.com/office/drawing/2014/main" id="{1D29156E-C90E-998E-25FA-455605F0B9FB}"/>
              </a:ext>
            </a:extLst>
          </xdr:cNvPr>
          <xdr:cNvSpPr/>
        </xdr:nvSpPr>
        <xdr:spPr>
          <a:xfrm>
            <a:off x="4324398" y="19268159"/>
            <a:ext cx="1617791"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Warehouse</a:t>
            </a:r>
          </a:p>
        </xdr:txBody>
      </xdr:sp>
      <xdr:sp macro="" textlink="">
        <xdr:nvSpPr>
          <xdr:cNvPr id="94" name="Rectangle 93" hidden="1">
            <a:extLst>
              <a:ext uri="{FF2B5EF4-FFF2-40B4-BE49-F238E27FC236}">
                <a16:creationId xmlns:a16="http://schemas.microsoft.com/office/drawing/2014/main" id="{E6FF9209-2E47-D6F2-6944-9AC5A865BF3C}"/>
              </a:ext>
            </a:extLst>
          </xdr:cNvPr>
          <xdr:cNvSpPr/>
        </xdr:nvSpPr>
        <xdr:spPr>
          <a:xfrm>
            <a:off x="103482" y="19810212"/>
            <a:ext cx="2167843" cy="469608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5" name="Rectangle 94" hidden="1">
            <a:extLst>
              <a:ext uri="{FF2B5EF4-FFF2-40B4-BE49-F238E27FC236}">
                <a16:creationId xmlns:a16="http://schemas.microsoft.com/office/drawing/2014/main" id="{716AE015-AC18-C4FE-6DDC-7314343976FF}"/>
              </a:ext>
            </a:extLst>
          </xdr:cNvPr>
          <xdr:cNvSpPr/>
        </xdr:nvSpPr>
        <xdr:spPr>
          <a:xfrm>
            <a:off x="12060297" y="19796759"/>
            <a:ext cx="2124923" cy="4728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ow_Overview" textlink="">
        <xdr:nvSpPr>
          <xdr:cNvPr id="96" name="Rectangle 95" hidden="1">
            <a:extLst>
              <a:ext uri="{FF2B5EF4-FFF2-40B4-BE49-F238E27FC236}">
                <a16:creationId xmlns:a16="http://schemas.microsoft.com/office/drawing/2014/main" id="{1543441A-4806-10E2-97C6-77FDBA76EBBB}"/>
              </a:ext>
            </a:extLst>
          </xdr:cNvPr>
          <xdr:cNvSpPr/>
        </xdr:nvSpPr>
        <xdr:spPr>
          <a:xfrm>
            <a:off x="1986454" y="19259280"/>
            <a:ext cx="1622410" cy="307874"/>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Overview</a:t>
            </a:r>
          </a:p>
        </xdr:txBody>
      </xdr:sp>
      <mc:AlternateContent xmlns:mc="http://schemas.openxmlformats.org/markup-compatibility/2006">
        <mc:Choice xmlns:a14="http://schemas.microsoft.com/office/drawing/2010/main" Requires="a14">
          <xdr:graphicFrame macro="">
            <xdr:nvGraphicFramePr>
              <xdr:cNvPr id="97" name="Category 7" hidden="1">
                <a:extLst>
                  <a:ext uri="{FF2B5EF4-FFF2-40B4-BE49-F238E27FC236}">
                    <a16:creationId xmlns:a16="http://schemas.microsoft.com/office/drawing/2014/main" id="{B725EE92-86E4-F87C-F545-6D33972B92FD}"/>
                  </a:ext>
                </a:extLst>
              </xdr:cNvPr>
              <xdr:cNvGraphicFramePr/>
            </xdr:nvGraphicFramePr>
            <xdr:xfrm>
              <a:off x="162962" y="19875415"/>
              <a:ext cx="2039363" cy="1507622"/>
            </xdr:xfrm>
            <a:graphic>
              <a:graphicData uri="http://schemas.microsoft.com/office/drawing/2010/slicer">
                <sle:slicer xmlns:sle="http://schemas.microsoft.com/office/drawing/2010/slicer" name="Category 7"/>
              </a:graphicData>
            </a:graphic>
          </xdr:graphicFrame>
        </mc:Choice>
        <mc:Fallback>
          <xdr:sp macro="" textlink="">
            <xdr:nvSpPr>
              <xdr:cNvPr id="0" name=""/>
              <xdr:cNvSpPr>
                <a:spLocks noTextEdit="1"/>
              </xdr:cNvSpPr>
            </xdr:nvSpPr>
            <xdr:spPr>
              <a:xfrm>
                <a:off x="59480" y="130833889"/>
                <a:ext cx="2039363" cy="15067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8" name="Supplier 5" hidden="1">
                <a:extLst>
                  <a:ext uri="{FF2B5EF4-FFF2-40B4-BE49-F238E27FC236}">
                    <a16:creationId xmlns:a16="http://schemas.microsoft.com/office/drawing/2014/main" id="{02C78103-E689-6CFB-8DF8-25574C0E1E77}"/>
                  </a:ext>
                </a:extLst>
              </xdr:cNvPr>
              <xdr:cNvGraphicFramePr/>
            </xdr:nvGraphicFramePr>
            <xdr:xfrm>
              <a:off x="164897" y="21436385"/>
              <a:ext cx="2022543" cy="1433022"/>
            </xdr:xfrm>
            <a:graphic>
              <a:graphicData uri="http://schemas.microsoft.com/office/drawing/2010/slicer">
                <sle:slicer xmlns:sle="http://schemas.microsoft.com/office/drawing/2010/slicer" name="Supplier 5"/>
              </a:graphicData>
            </a:graphic>
          </xdr:graphicFrame>
        </mc:Choice>
        <mc:Fallback>
          <xdr:sp macro="" textlink="">
            <xdr:nvSpPr>
              <xdr:cNvPr id="0" name=""/>
              <xdr:cNvSpPr>
                <a:spLocks noTextEdit="1"/>
              </xdr:cNvSpPr>
            </xdr:nvSpPr>
            <xdr:spPr>
              <a:xfrm>
                <a:off x="61415" y="132393948"/>
                <a:ext cx="2022543" cy="14321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99" name="Warehouse Location 5" hidden="1">
                <a:extLst>
                  <a:ext uri="{FF2B5EF4-FFF2-40B4-BE49-F238E27FC236}">
                    <a16:creationId xmlns:a16="http://schemas.microsoft.com/office/drawing/2014/main" id="{87DF59E3-3ADF-97FE-D6A2-AFE141570CBE}"/>
                  </a:ext>
                </a:extLst>
              </xdr:cNvPr>
              <xdr:cNvGraphicFramePr/>
            </xdr:nvGraphicFramePr>
            <xdr:xfrm>
              <a:off x="170586" y="22961111"/>
              <a:ext cx="2018819" cy="1460519"/>
            </xdr:xfrm>
            <a:graphic>
              <a:graphicData uri="http://schemas.microsoft.com/office/drawing/2010/slicer">
                <sle:slicer xmlns:sle="http://schemas.microsoft.com/office/drawing/2010/slicer" name="Warehouse Location 5"/>
              </a:graphicData>
            </a:graphic>
          </xdr:graphicFrame>
        </mc:Choice>
        <mc:Fallback>
          <xdr:sp macro="" textlink="">
            <xdr:nvSpPr>
              <xdr:cNvPr id="0" name=""/>
              <xdr:cNvSpPr>
                <a:spLocks noTextEdit="1"/>
              </xdr:cNvSpPr>
            </xdr:nvSpPr>
            <xdr:spPr>
              <a:xfrm>
                <a:off x="67104" y="133917785"/>
                <a:ext cx="2018819" cy="14596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00" name="Stock Status 5" hidden="1">
                <a:extLst>
                  <a:ext uri="{FF2B5EF4-FFF2-40B4-BE49-F238E27FC236}">
                    <a16:creationId xmlns:a16="http://schemas.microsoft.com/office/drawing/2014/main" id="{59AAE545-C863-982A-2F82-61D344467933}"/>
                  </a:ext>
                </a:extLst>
              </xdr:cNvPr>
              <xdr:cNvGraphicFramePr/>
            </xdr:nvGraphicFramePr>
            <xdr:xfrm>
              <a:off x="12112674" y="19853782"/>
              <a:ext cx="2002148" cy="910112"/>
            </xdr:xfrm>
            <a:graphic>
              <a:graphicData uri="http://schemas.microsoft.com/office/drawing/2010/slicer">
                <sle:slicer xmlns:sle="http://schemas.microsoft.com/office/drawing/2010/slicer" name="Stock Status 5"/>
              </a:graphicData>
            </a:graphic>
          </xdr:graphicFrame>
        </mc:Choice>
        <mc:Fallback>
          <xdr:sp macro="" textlink="">
            <xdr:nvSpPr>
              <xdr:cNvPr id="0" name=""/>
              <xdr:cNvSpPr>
                <a:spLocks noTextEdit="1"/>
              </xdr:cNvSpPr>
            </xdr:nvSpPr>
            <xdr:spPr>
              <a:xfrm>
                <a:off x="12009192" y="130812269"/>
                <a:ext cx="2002148" cy="9095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01" name="Item Name 5" hidden="1">
                <a:extLst>
                  <a:ext uri="{FF2B5EF4-FFF2-40B4-BE49-F238E27FC236}">
                    <a16:creationId xmlns:a16="http://schemas.microsoft.com/office/drawing/2014/main" id="{6D41CC61-AC42-4B85-4A18-6ABB28D30D3A}"/>
                  </a:ext>
                </a:extLst>
              </xdr:cNvPr>
              <xdr:cNvGraphicFramePr/>
            </xdr:nvGraphicFramePr>
            <xdr:xfrm>
              <a:off x="12123072" y="20802033"/>
              <a:ext cx="2008600" cy="3624957"/>
            </xdr:xfrm>
            <a:graphic>
              <a:graphicData uri="http://schemas.microsoft.com/office/drawing/2010/slicer">
                <sle:slicer xmlns:sle="http://schemas.microsoft.com/office/drawing/2010/slicer" name="Item Name 5"/>
              </a:graphicData>
            </a:graphic>
          </xdr:graphicFrame>
        </mc:Choice>
        <mc:Fallback>
          <xdr:sp macro="" textlink="">
            <xdr:nvSpPr>
              <xdr:cNvPr id="0" name=""/>
              <xdr:cNvSpPr>
                <a:spLocks noTextEdit="1"/>
              </xdr:cNvSpPr>
            </xdr:nvSpPr>
            <xdr:spPr>
              <a:xfrm>
                <a:off x="12019590" y="131759966"/>
                <a:ext cx="2008600" cy="362284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27" name="Chart 26" hidden="1">
            <a:extLst>
              <a:ext uri="{FF2B5EF4-FFF2-40B4-BE49-F238E27FC236}">
                <a16:creationId xmlns:a16="http://schemas.microsoft.com/office/drawing/2014/main" id="{4C4542D5-9D25-4464-A0DE-FAE3D1152512}"/>
              </a:ext>
            </a:extLst>
          </xdr:cNvPr>
          <xdr:cNvGraphicFramePr>
            <a:graphicFrameLocks/>
          </xdr:cNvGraphicFramePr>
        </xdr:nvGraphicFramePr>
        <xdr:xfrm>
          <a:off x="2333035" y="19821407"/>
          <a:ext cx="4920075" cy="238007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8" name="Chart 27" hidden="1">
            <a:extLst>
              <a:ext uri="{FF2B5EF4-FFF2-40B4-BE49-F238E27FC236}">
                <a16:creationId xmlns:a16="http://schemas.microsoft.com/office/drawing/2014/main" id="{47DD8489-C821-4C45-949D-FF7AC5D957B9}"/>
              </a:ext>
            </a:extLst>
          </xdr:cNvPr>
          <xdr:cNvGraphicFramePr>
            <a:graphicFrameLocks/>
          </xdr:cNvGraphicFramePr>
        </xdr:nvGraphicFramePr>
        <xdr:xfrm>
          <a:off x="7309556" y="19830815"/>
          <a:ext cx="4666074" cy="2370666"/>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9" name="Chart 28" hidden="1">
            <a:extLst>
              <a:ext uri="{FF2B5EF4-FFF2-40B4-BE49-F238E27FC236}">
                <a16:creationId xmlns:a16="http://schemas.microsoft.com/office/drawing/2014/main" id="{8771B811-9922-42E9-B73F-DB9E392661D2}"/>
              </a:ext>
            </a:extLst>
          </xdr:cNvPr>
          <xdr:cNvGraphicFramePr>
            <a:graphicFrameLocks/>
          </xdr:cNvGraphicFramePr>
        </xdr:nvGraphicFramePr>
        <xdr:xfrm>
          <a:off x="2323630" y="22229705"/>
          <a:ext cx="9661407" cy="2276591"/>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0</xdr:col>
      <xdr:colOff>0</xdr:colOff>
      <xdr:row>724</xdr:row>
      <xdr:rowOff>111760</xdr:rowOff>
    </xdr:from>
    <xdr:to>
      <xdr:col>21</xdr:col>
      <xdr:colOff>55294</xdr:colOff>
      <xdr:row>758</xdr:row>
      <xdr:rowOff>2351</xdr:rowOff>
    </xdr:to>
    <xdr:grpSp>
      <xdr:nvGrpSpPr>
        <xdr:cNvPr id="84" name="grprestocking" hidden="1">
          <a:extLst>
            <a:ext uri="{FF2B5EF4-FFF2-40B4-BE49-F238E27FC236}">
              <a16:creationId xmlns:a16="http://schemas.microsoft.com/office/drawing/2014/main" id="{5EC3183F-F1C0-39B2-356B-D9603B4A6D9B}"/>
            </a:ext>
          </a:extLst>
        </xdr:cNvPr>
        <xdr:cNvGrpSpPr/>
      </xdr:nvGrpSpPr>
      <xdr:grpSpPr>
        <a:xfrm>
          <a:off x="0" y="129520056"/>
          <a:ext cx="14081738" cy="5967776"/>
          <a:chOff x="0" y="24844963"/>
          <a:chExt cx="14081738" cy="5964295"/>
        </a:xfrm>
      </xdr:grpSpPr>
      <xdr:sp macro="" textlink="">
        <xdr:nvSpPr>
          <xdr:cNvPr id="103" name="Rectangle: Top Corners Rounded 102" hidden="1">
            <a:extLst>
              <a:ext uri="{FF2B5EF4-FFF2-40B4-BE49-F238E27FC236}">
                <a16:creationId xmlns:a16="http://schemas.microsoft.com/office/drawing/2014/main" id="{0BBFA884-E751-D353-B634-3FE1805C4C12}"/>
              </a:ext>
            </a:extLst>
          </xdr:cNvPr>
          <xdr:cNvSpPr/>
        </xdr:nvSpPr>
        <xdr:spPr>
          <a:xfrm>
            <a:off x="0" y="24844963"/>
            <a:ext cx="14072164" cy="1194364"/>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                                   </a:t>
            </a:r>
          </a:p>
        </xdr:txBody>
      </xdr:sp>
      <xdr:pic>
        <xdr:nvPicPr>
          <xdr:cNvPr id="104" name="Picture 103" hidden="1">
            <a:extLst>
              <a:ext uri="{FF2B5EF4-FFF2-40B4-BE49-F238E27FC236}">
                <a16:creationId xmlns:a16="http://schemas.microsoft.com/office/drawing/2014/main" id="{74D3AF60-EBF2-4E79-1BC6-8D22B9B13727}"/>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duotone>
              <a:srgbClr val="1CADE4">
                <a:shade val="45000"/>
                <a:satMod val="135000"/>
              </a:srgbClr>
              <a:prstClr val="white"/>
            </a:duotone>
            <a:extLst>
              <a:ext uri="{BEBA8EAE-BF5A-486C-A8C5-ECC9F3942E4B}">
                <a14:imgProps xmlns:a14="http://schemas.microsoft.com/office/drawing/2010/main">
                  <a14:imgLayer r:embed="rId2">
                    <a14:imgEffect>
                      <a14:colorTemperature colorTemp="4700"/>
                    </a14:imgEffect>
                  </a14:imgLayer>
                </a14:imgProps>
              </a:ext>
              <a:ext uri="{28A0092B-C50C-407E-A947-70E740481C1C}">
                <a14:useLocalDpi xmlns:a14="http://schemas.microsoft.com/office/drawing/2010/main" val="0"/>
              </a:ext>
            </a:extLst>
          </a:blip>
          <a:srcRect l="1657" t="27703" r="2578" b="13812"/>
          <a:stretch/>
        </xdr:blipFill>
        <xdr:spPr>
          <a:xfrm>
            <a:off x="114300" y="24913543"/>
            <a:ext cx="1260915" cy="104196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sp macro="" textlink="">
        <xdr:nvSpPr>
          <xdr:cNvPr id="105" name="Rectangle 104" hidden="1">
            <a:extLst>
              <a:ext uri="{FF2B5EF4-FFF2-40B4-BE49-F238E27FC236}">
                <a16:creationId xmlns:a16="http://schemas.microsoft.com/office/drawing/2014/main" id="{370397DD-00CE-8C4D-1F84-85F4598D3F26}"/>
              </a:ext>
            </a:extLst>
          </xdr:cNvPr>
          <xdr:cNvSpPr/>
        </xdr:nvSpPr>
        <xdr:spPr>
          <a:xfrm>
            <a:off x="1419672" y="24913544"/>
            <a:ext cx="12517967" cy="104958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800" b="1" u="dbl">
                <a:solidFill>
                  <a:schemeClr val="accent1"/>
                </a:solidFill>
                <a:latin typeface="Algerian" panose="04020705040A02060702" pitchFamily="82" charset="0"/>
              </a:rPr>
              <a:t>Restocking</a:t>
            </a:r>
            <a:r>
              <a:rPr lang="en-IN" sz="2800" b="1" u="none" baseline="0">
                <a:solidFill>
                  <a:schemeClr val="accent1"/>
                </a:solidFill>
                <a:latin typeface="Algerian" panose="04020705040A02060702" pitchFamily="82" charset="0"/>
              </a:rPr>
              <a:t> </a:t>
            </a:r>
            <a:r>
              <a:rPr lang="en-IN" sz="2800" b="1" u="dbl" baseline="0">
                <a:solidFill>
                  <a:schemeClr val="accent1"/>
                </a:solidFill>
                <a:latin typeface="Algerian" panose="04020705040A02060702" pitchFamily="82" charset="0"/>
              </a:rPr>
              <a:t>Trends</a:t>
            </a:r>
            <a:endParaRPr lang="en-IN" sz="2800" b="1" u="dbl">
              <a:solidFill>
                <a:schemeClr val="accent1"/>
              </a:solidFill>
              <a:latin typeface="Algerian" panose="04020705040A02060702" pitchFamily="82" charset="0"/>
            </a:endParaRPr>
          </a:p>
        </xdr:txBody>
      </xdr:sp>
      <xdr:sp macro="[0]!Show_Restock" textlink="">
        <xdr:nvSpPr>
          <xdr:cNvPr id="106" name="Rectangle 105" hidden="1">
            <a:extLst>
              <a:ext uri="{FF2B5EF4-FFF2-40B4-BE49-F238E27FC236}">
                <a16:creationId xmlns:a16="http://schemas.microsoft.com/office/drawing/2014/main" id="{1DE5CAC4-3F75-2A6F-4672-D08F3B61E15E}"/>
              </a:ext>
            </a:extLst>
          </xdr:cNvPr>
          <xdr:cNvSpPr/>
        </xdr:nvSpPr>
        <xdr:spPr>
          <a:xfrm>
            <a:off x="11735741" y="25575167"/>
            <a:ext cx="1615158" cy="300661"/>
          </a:xfrm>
          <a:prstGeom prst="rect">
            <a:avLst/>
          </a:prstGeom>
          <a:solidFill>
            <a:schemeClr val="accent1">
              <a:lumMod val="5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400" u="sng"/>
              <a:t>Restocking</a:t>
            </a:r>
            <a:r>
              <a:rPr lang="en-IN" sz="1400" u="sng" baseline="0"/>
              <a:t> Trends</a:t>
            </a:r>
            <a:endParaRPr lang="en-IN" sz="1400" u="sng"/>
          </a:p>
        </xdr:txBody>
      </xdr:sp>
      <xdr:sp macro="[0]!Show_Category" textlink="">
        <xdr:nvSpPr>
          <xdr:cNvPr id="107" name="Rectangle 106" hidden="1">
            <a:extLst>
              <a:ext uri="{FF2B5EF4-FFF2-40B4-BE49-F238E27FC236}">
                <a16:creationId xmlns:a16="http://schemas.microsoft.com/office/drawing/2014/main" id="{14AC721B-E47D-5A35-D9C1-440D6ED8C60C}"/>
              </a:ext>
            </a:extLst>
          </xdr:cNvPr>
          <xdr:cNvSpPr/>
        </xdr:nvSpPr>
        <xdr:spPr>
          <a:xfrm>
            <a:off x="9231677" y="25544687"/>
            <a:ext cx="1615158"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Category-Wise</a:t>
            </a:r>
          </a:p>
        </xdr:txBody>
      </xdr:sp>
      <xdr:sp macro="[0]!Show_Supplier" textlink="">
        <xdr:nvSpPr>
          <xdr:cNvPr id="108" name="Rectangle 107" hidden="1">
            <a:extLst>
              <a:ext uri="{FF2B5EF4-FFF2-40B4-BE49-F238E27FC236}">
                <a16:creationId xmlns:a16="http://schemas.microsoft.com/office/drawing/2014/main" id="{469912E3-DDEE-7D02-9397-35A4C28B9B8B}"/>
              </a:ext>
            </a:extLst>
          </xdr:cNvPr>
          <xdr:cNvSpPr/>
        </xdr:nvSpPr>
        <xdr:spPr>
          <a:xfrm>
            <a:off x="6694499" y="25552307"/>
            <a:ext cx="1617792"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Supplier Analysis</a:t>
            </a:r>
          </a:p>
        </xdr:txBody>
      </xdr:sp>
      <xdr:sp macro="[0]!Show_Warehouse" textlink="">
        <xdr:nvSpPr>
          <xdr:cNvPr id="109" name="Rectangle 108" hidden="1">
            <a:extLst>
              <a:ext uri="{FF2B5EF4-FFF2-40B4-BE49-F238E27FC236}">
                <a16:creationId xmlns:a16="http://schemas.microsoft.com/office/drawing/2014/main" id="{E7AD3666-5133-559B-198C-C1F9F07471D3}"/>
              </a:ext>
            </a:extLst>
          </xdr:cNvPr>
          <xdr:cNvSpPr/>
        </xdr:nvSpPr>
        <xdr:spPr>
          <a:xfrm>
            <a:off x="4220916" y="25552307"/>
            <a:ext cx="1617791" cy="30066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Warehouse</a:t>
            </a:r>
          </a:p>
        </xdr:txBody>
      </xdr:sp>
      <xdr:sp macro="" textlink="">
        <xdr:nvSpPr>
          <xdr:cNvPr id="110" name="Rectangle 109" hidden="1">
            <a:extLst>
              <a:ext uri="{FF2B5EF4-FFF2-40B4-BE49-F238E27FC236}">
                <a16:creationId xmlns:a16="http://schemas.microsoft.com/office/drawing/2014/main" id="{25F5E926-AC87-40FB-E34D-66FE50EB7786}"/>
              </a:ext>
            </a:extLst>
          </xdr:cNvPr>
          <xdr:cNvSpPr/>
        </xdr:nvSpPr>
        <xdr:spPr>
          <a:xfrm>
            <a:off x="0" y="26094360"/>
            <a:ext cx="2167843" cy="469608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1" name="Rectangle 110" hidden="1">
            <a:extLst>
              <a:ext uri="{FF2B5EF4-FFF2-40B4-BE49-F238E27FC236}">
                <a16:creationId xmlns:a16="http://schemas.microsoft.com/office/drawing/2014/main" id="{83706A8D-0D21-CC7A-EDC4-67BB7FA2F0C7}"/>
              </a:ext>
            </a:extLst>
          </xdr:cNvPr>
          <xdr:cNvSpPr/>
        </xdr:nvSpPr>
        <xdr:spPr>
          <a:xfrm>
            <a:off x="11956815" y="26080907"/>
            <a:ext cx="2124923" cy="472835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Show_Overview" textlink="">
        <xdr:nvSpPr>
          <xdr:cNvPr id="112" name="Rectangle 111" hidden="1">
            <a:extLst>
              <a:ext uri="{FF2B5EF4-FFF2-40B4-BE49-F238E27FC236}">
                <a16:creationId xmlns:a16="http://schemas.microsoft.com/office/drawing/2014/main" id="{B9B9652E-9E9B-F3C0-ADAA-F90CECFBFFFD}"/>
              </a:ext>
            </a:extLst>
          </xdr:cNvPr>
          <xdr:cNvSpPr/>
        </xdr:nvSpPr>
        <xdr:spPr>
          <a:xfrm>
            <a:off x="1882972" y="25543428"/>
            <a:ext cx="1622410" cy="307874"/>
          </a:xfrm>
          <a:prstGeom prst="rect">
            <a:avLst/>
          </a:prstGeom>
          <a:ln>
            <a:solidFill>
              <a:schemeClr val="accent1">
                <a:shade val="15000"/>
                <a:alpha val="89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u="sng"/>
              <a:t>Overview</a:t>
            </a:r>
          </a:p>
        </xdr:txBody>
      </xdr:sp>
      <mc:AlternateContent xmlns:mc="http://schemas.openxmlformats.org/markup-compatibility/2006">
        <mc:Choice xmlns:a14="http://schemas.microsoft.com/office/drawing/2010/main" Requires="a14">
          <xdr:graphicFrame macro="">
            <xdr:nvGraphicFramePr>
              <xdr:cNvPr id="113" name="Category 8" hidden="1">
                <a:extLst>
                  <a:ext uri="{FF2B5EF4-FFF2-40B4-BE49-F238E27FC236}">
                    <a16:creationId xmlns:a16="http://schemas.microsoft.com/office/drawing/2014/main" id="{D6FE48B1-1293-47EF-819E-A479A5120C6F}"/>
                  </a:ext>
                </a:extLst>
              </xdr:cNvPr>
              <xdr:cNvGraphicFramePr/>
            </xdr:nvGraphicFramePr>
            <xdr:xfrm>
              <a:off x="50073" y="29216970"/>
              <a:ext cx="2039363" cy="1507622"/>
            </xdr:xfrm>
            <a:graphic>
              <a:graphicData uri="http://schemas.microsoft.com/office/drawing/2010/slicer">
                <sle:slicer xmlns:sle="http://schemas.microsoft.com/office/drawing/2010/slicer" name="Category 8"/>
              </a:graphicData>
            </a:graphic>
          </xdr:graphicFrame>
        </mc:Choice>
        <mc:Fallback>
          <xdr:sp macro="" textlink="">
            <xdr:nvSpPr>
              <xdr:cNvPr id="0" name=""/>
              <xdr:cNvSpPr>
                <a:spLocks noTextEdit="1"/>
              </xdr:cNvSpPr>
            </xdr:nvSpPr>
            <xdr:spPr>
              <a:xfrm>
                <a:off x="50073" y="133894615"/>
                <a:ext cx="2039363" cy="150850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4" name="Supplier 6" hidden="1">
                <a:extLst>
                  <a:ext uri="{FF2B5EF4-FFF2-40B4-BE49-F238E27FC236}">
                    <a16:creationId xmlns:a16="http://schemas.microsoft.com/office/drawing/2014/main" id="{D4087C3B-112E-13B6-8116-99AC5DDF6676}"/>
                  </a:ext>
                </a:extLst>
              </xdr:cNvPr>
              <xdr:cNvGraphicFramePr/>
            </xdr:nvGraphicFramePr>
            <xdr:xfrm>
              <a:off x="61415" y="27720533"/>
              <a:ext cx="2022543" cy="1433022"/>
            </xdr:xfrm>
            <a:graphic>
              <a:graphicData uri="http://schemas.microsoft.com/office/drawing/2010/slicer">
                <sle:slicer xmlns:sle="http://schemas.microsoft.com/office/drawing/2010/slicer" name="Supplier 6"/>
              </a:graphicData>
            </a:graphic>
          </xdr:graphicFrame>
        </mc:Choice>
        <mc:Fallback>
          <xdr:sp macro="" textlink="">
            <xdr:nvSpPr>
              <xdr:cNvPr id="0" name=""/>
              <xdr:cNvSpPr>
                <a:spLocks noTextEdit="1"/>
              </xdr:cNvSpPr>
            </xdr:nvSpPr>
            <xdr:spPr>
              <a:xfrm>
                <a:off x="61415" y="132397304"/>
                <a:ext cx="2022543" cy="143385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5" name="Warehouse Location 6" hidden="1">
                <a:extLst>
                  <a:ext uri="{FF2B5EF4-FFF2-40B4-BE49-F238E27FC236}">
                    <a16:creationId xmlns:a16="http://schemas.microsoft.com/office/drawing/2014/main" id="{4DB3AE8F-FCC8-1D7D-A28E-AB48856EF73E}"/>
                  </a:ext>
                </a:extLst>
              </xdr:cNvPr>
              <xdr:cNvGraphicFramePr/>
            </xdr:nvGraphicFramePr>
            <xdr:xfrm>
              <a:off x="67104" y="26187852"/>
              <a:ext cx="2018819" cy="1460519"/>
            </xdr:xfrm>
            <a:graphic>
              <a:graphicData uri="http://schemas.microsoft.com/office/drawing/2010/slicer">
                <sle:slicer xmlns:sle="http://schemas.microsoft.com/office/drawing/2010/slicer" name="Warehouse Location 6"/>
              </a:graphicData>
            </a:graphic>
          </xdr:graphicFrame>
        </mc:Choice>
        <mc:Fallback>
          <xdr:sp macro="" textlink="">
            <xdr:nvSpPr>
              <xdr:cNvPr id="0" name=""/>
              <xdr:cNvSpPr>
                <a:spLocks noTextEdit="1"/>
              </xdr:cNvSpPr>
            </xdr:nvSpPr>
            <xdr:spPr>
              <a:xfrm>
                <a:off x="67104" y="130863729"/>
                <a:ext cx="2018819" cy="146137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6" name="Stock Status 6" hidden="1">
                <a:extLst>
                  <a:ext uri="{FF2B5EF4-FFF2-40B4-BE49-F238E27FC236}">
                    <a16:creationId xmlns:a16="http://schemas.microsoft.com/office/drawing/2014/main" id="{FB83EABE-0549-5E93-F1A5-355E38412C25}"/>
                  </a:ext>
                </a:extLst>
              </xdr:cNvPr>
              <xdr:cNvGraphicFramePr/>
            </xdr:nvGraphicFramePr>
            <xdr:xfrm>
              <a:off x="12009192" y="26137930"/>
              <a:ext cx="2002148" cy="910112"/>
            </xdr:xfrm>
            <a:graphic>
              <a:graphicData uri="http://schemas.microsoft.com/office/drawing/2010/slicer">
                <sle:slicer xmlns:sle="http://schemas.microsoft.com/office/drawing/2010/slicer" name="Stock Status 6"/>
              </a:graphicData>
            </a:graphic>
          </xdr:graphicFrame>
        </mc:Choice>
        <mc:Fallback>
          <xdr:sp macro="" textlink="">
            <xdr:nvSpPr>
              <xdr:cNvPr id="0" name=""/>
              <xdr:cNvSpPr>
                <a:spLocks noTextEdit="1"/>
              </xdr:cNvSpPr>
            </xdr:nvSpPr>
            <xdr:spPr>
              <a:xfrm>
                <a:off x="12009192" y="130813778"/>
                <a:ext cx="2002148" cy="91064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117" name="Item Name 6" hidden="1">
                <a:extLst>
                  <a:ext uri="{FF2B5EF4-FFF2-40B4-BE49-F238E27FC236}">
                    <a16:creationId xmlns:a16="http://schemas.microsoft.com/office/drawing/2014/main" id="{110E8453-D063-2E8D-1E8D-A92D63C2A4EF}"/>
                  </a:ext>
                </a:extLst>
              </xdr:cNvPr>
              <xdr:cNvGraphicFramePr/>
            </xdr:nvGraphicFramePr>
            <xdr:xfrm>
              <a:off x="12019590" y="27086181"/>
              <a:ext cx="2008600" cy="3624957"/>
            </xdr:xfrm>
            <a:graphic>
              <a:graphicData uri="http://schemas.microsoft.com/office/drawing/2010/slicer">
                <sle:slicer xmlns:sle="http://schemas.microsoft.com/office/drawing/2010/slicer" name="Item Name 6"/>
              </a:graphicData>
            </a:graphic>
          </xdr:graphicFrame>
        </mc:Choice>
        <mc:Fallback>
          <xdr:sp macro="" textlink="">
            <xdr:nvSpPr>
              <xdr:cNvPr id="0" name=""/>
              <xdr:cNvSpPr>
                <a:spLocks noTextEdit="1"/>
              </xdr:cNvSpPr>
            </xdr:nvSpPr>
            <xdr:spPr>
              <a:xfrm>
                <a:off x="12019590" y="131762582"/>
                <a:ext cx="2008600" cy="36270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32" name="Chart 31" hidden="1">
            <a:extLst>
              <a:ext uri="{FF2B5EF4-FFF2-40B4-BE49-F238E27FC236}">
                <a16:creationId xmlns:a16="http://schemas.microsoft.com/office/drawing/2014/main" id="{058F13DB-E810-4566-B29E-305D08D6478B}"/>
              </a:ext>
            </a:extLst>
          </xdr:cNvPr>
          <xdr:cNvGraphicFramePr>
            <a:graphicFrameLocks/>
          </xdr:cNvGraphicFramePr>
        </xdr:nvGraphicFramePr>
        <xdr:xfrm>
          <a:off x="2210742" y="26114963"/>
          <a:ext cx="9670814" cy="2295407"/>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3" name="Chart 32" hidden="1">
            <a:extLst>
              <a:ext uri="{FF2B5EF4-FFF2-40B4-BE49-F238E27FC236}">
                <a16:creationId xmlns:a16="http://schemas.microsoft.com/office/drawing/2014/main" id="{78EF1BA6-BE59-448E-8138-F676D771ABA9}"/>
              </a:ext>
            </a:extLst>
          </xdr:cNvPr>
          <xdr:cNvGraphicFramePr>
            <a:graphicFrameLocks/>
          </xdr:cNvGraphicFramePr>
        </xdr:nvGraphicFramePr>
        <xdr:xfrm>
          <a:off x="2210741" y="28457407"/>
          <a:ext cx="9708444" cy="2351851"/>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2800929" backgroundQuery="1" createdVersion="8" refreshedVersion="8" minRefreshableVersion="3" recordCount="0" supportSubquery="1" supportAdvancedDrill="1" xr:uid="{32910FF0-E9D3-43DC-A3C3-89E7FBA2D21E}">
  <cacheSource type="external" connectionId="3"/>
  <cacheFields count="3">
    <cacheField name="[InventoryData].[Category].[Category]" caption="Category" numFmtId="0" hierarchy="2" level="1">
      <sharedItems count="3">
        <s v="Category A"/>
        <s v="Category B"/>
        <s v="Category C"/>
      </sharedItems>
    </cacheField>
    <cacheField name="[Measures].[Sum of Stock Value]" caption="Sum of Stock Value" numFmtId="0" hierarchy="36"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fieldsUsage count="2">
        <fieldUsage x="-1"/>
        <fieldUsage x="0"/>
      </fieldsUsage>
    </cacheHierarchy>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3148145" backgroundQuery="1" createdVersion="8" refreshedVersion="8" minRefreshableVersion="3" recordCount="0" supportSubquery="1" supportAdvancedDrill="1" xr:uid="{A3CA3400-CD45-420C-99A7-EA81C3232F9C}">
  <cacheSource type="external" connectionId="3"/>
  <cacheFields count="2">
    <cacheField name="[Measures].[Sum of Stock Quantity]" caption="Sum of Stock Quantity" numFmtId="0" hierarchy="35"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1"/>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337963" backgroundQuery="1" createdVersion="8" refreshedVersion="8" minRefreshableVersion="3" recordCount="0" supportSubquery="1" supportAdvancedDrill="1" xr:uid="{5F326E35-3604-44EB-8818-9DA201BB2EFF}">
  <cacheSource type="external" connectionId="3"/>
  <cacheFields count="2">
    <cacheField name="[Measures].[Sum of Stock Value]" caption="Sum of Stock Value" numFmtId="0" hierarchy="36"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1"/>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3495368" backgroundQuery="1" createdVersion="8" refreshedVersion="8" minRefreshableVersion="3" recordCount="0" supportSubquery="1" supportAdvancedDrill="1" xr:uid="{31FBCC2E-899C-4835-A493-23521B8AAE00}">
  <cacheSource type="external" connectionId="3"/>
  <cacheFields count="2">
    <cacheField name="[Measures].[Average of Stock Quantity]" caption="Average of Stock Quantity" numFmtId="0" hierarchy="42"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1"/>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oneField="1" hidden="1">
      <fieldsUsage count="1">
        <fieldUsage x="0"/>
      </fieldsUsage>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3726853" backgroundQuery="1" createdVersion="8" refreshedVersion="8" minRefreshableVersion="3" recordCount="0" supportSubquery="1" supportAdvancedDrill="1" xr:uid="{B4215BEF-8D8E-4D2C-A160-A74BED11C30C}">
  <cacheSource type="external" connectionId="3"/>
  <cacheFields count="2">
    <cacheField name="[Measures].[Average of Stock Value]" caption="Average of Stock Value" numFmtId="0" hierarchy="43"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1"/>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oneField="1" hidden="1">
      <fieldsUsage count="1">
        <fieldUsage x="0"/>
      </fieldsUsage>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4074076" backgroundQuery="1" createdVersion="8" refreshedVersion="8" minRefreshableVersion="3" recordCount="0" supportSubquery="1" supportAdvancedDrill="1" xr:uid="{4AD405F1-BDD6-4E24-AA3E-58BBF9C6BB54}">
  <cacheSource type="external" connectionId="3"/>
  <cacheFields count="2">
    <cacheField name="[InventoryData].[Stock Status].[Stock Status]" caption="Stock Status" numFmtId="0" hierarchy="10" level="1">
      <sharedItems count="2">
        <s v="Below Reorder"/>
        <s v="Sufficient"/>
      </sharedItems>
    </cacheField>
    <cacheField name="[Measures].[Count of Item ID]" caption="Count of Item ID" numFmtId="0" hierarchy="37" level="32767"/>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0"/>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4652777" backgroundQuery="1" createdVersion="8" refreshedVersion="8" minRefreshableVersion="3" recordCount="0" supportSubquery="1" supportAdvancedDrill="1" xr:uid="{94061713-36B1-4F0B-A248-12614A044C21}">
  <cacheSource type="external" connectionId="3"/>
  <cacheFields count="3">
    <cacheField name="[InventoryData].[Warehouse Location].[Warehouse Location]" caption="Warehouse Location" numFmtId="0" hierarchy="9" level="1">
      <sharedItems count="3">
        <s v="Warehouse A"/>
        <s v="Warehouse B"/>
        <s v="Warehouse C"/>
      </sharedItems>
    </cacheField>
    <cacheField name="[Measures].[Sum of Stock Value]" caption="Sum of Stock Value" numFmtId="0" hierarchy="36"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fieldsUsage count="2">
        <fieldUsage x="-1"/>
        <fieldUsage x="0"/>
      </fieldsUsage>
    </cacheHierarchy>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5115739" backgroundQuery="1" createdVersion="8" refreshedVersion="8" minRefreshableVersion="3" recordCount="0" supportSubquery="1" supportAdvancedDrill="1" xr:uid="{7DEB62CF-65A7-4F4E-8BA4-6260FDE030F0}">
  <cacheSource type="external" connectionId="3"/>
  <cacheFields count="3">
    <cacheField name="[InventoryData].[Warehouse Location].[Warehouse Location]" caption="Warehouse Location" numFmtId="0" hierarchy="9" level="1">
      <sharedItems count="3">
        <s v="Warehouse A"/>
        <s v="Warehouse B"/>
        <s v="Warehouse C"/>
      </sharedItems>
    </cacheField>
    <cacheField name="[Measures].[Average of Stock Value]" caption="Average of Stock Value" numFmtId="0" hierarchy="43"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fieldsUsage count="2">
        <fieldUsage x="-1"/>
        <fieldUsage x="0"/>
      </fieldsUsage>
    </cacheHierarchy>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5694447" backgroundQuery="1" createdVersion="8" refreshedVersion="8" minRefreshableVersion="3" recordCount="0" supportSubquery="1" supportAdvancedDrill="1" xr:uid="{550B74F2-83BA-46AE-8EF9-8B399685BC08}">
  <cacheSource type="external" connectionId="3"/>
  <cacheFields count="3">
    <cacheField name="[InventoryData].[Supplier].[Supplier]" caption="Supplier" numFmtId="0" hierarchy="6" level="1">
      <sharedItems count="3">
        <s v="Supplier X"/>
        <s v="Supplier Y"/>
        <s v="Supplier Z"/>
      </sharedItems>
    </cacheField>
    <cacheField name="[Measures].[Sum of Stock Value]" caption="Sum of Stock Value" numFmtId="0" hierarchy="36"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fieldsUsage count="2">
        <fieldUsage x="-1"/>
        <fieldUsage x="0"/>
      </fieldsUsage>
    </cacheHierarchy>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6273147" backgroundQuery="1" createdVersion="8" refreshedVersion="8" minRefreshableVersion="3" recordCount="0" supportSubquery="1" supportAdvancedDrill="1" xr:uid="{C5C46182-A9B0-46AE-9680-05910B9210D3}">
  <cacheSource type="external" connectionId="3"/>
  <cacheFields count="3">
    <cacheField name="[InventoryData].[Supplier].[Supplier]" caption="Supplier" numFmtId="0" hierarchy="6" level="1">
      <sharedItems count="3">
        <s v="Supplier X"/>
        <s v="Supplier Y"/>
        <s v="Supplier Z"/>
      </sharedItems>
    </cacheField>
    <cacheField name="[InventoryData].[Stock Status].[Stock Status]" caption="Stock Status" numFmtId="0" hierarchy="10" level="1">
      <sharedItems count="2">
        <s v="Below Reorder"/>
        <s v="Sufficient"/>
      </sharedItems>
    </cacheField>
    <cacheField name="[Measures].[Sum of Stock Quantity]" caption="Sum of Stock Quantity" numFmtId="0" hierarchy="35" level="32767"/>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fieldsUsage count="2">
        <fieldUsage x="-1"/>
        <fieldUsage x="0"/>
      </fieldsUsage>
    </cacheHierarchy>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1"/>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2"/>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6851855" backgroundQuery="1" createdVersion="8" refreshedVersion="8" minRefreshableVersion="3" recordCount="0" supportSubquery="1" supportAdvancedDrill="1" xr:uid="{E27F036A-2D2B-4042-B7A7-60A4F3DB2E77}">
  <cacheSource type="external" connectionId="3"/>
  <cacheFields count="3">
    <cacheField name="[InventoryData].[Category].[Category]" caption="Category" numFmtId="0" hierarchy="2" level="1">
      <sharedItems count="3">
        <s v="Category A"/>
        <s v="Category B"/>
        <s v="Category C"/>
      </sharedItems>
    </cacheField>
    <cacheField name="[Measures].[Sum of Stock Quantity]" caption="Sum of Stock Quantity" numFmtId="0" hierarchy="35"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fieldsUsage count="2">
        <fieldUsage x="-1"/>
        <fieldUsage x="0"/>
      </fieldsUsage>
    </cacheHierarchy>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7430556" backgroundQuery="1" createdVersion="8" refreshedVersion="8" minRefreshableVersion="3" recordCount="0" supportSubquery="1" supportAdvancedDrill="1" xr:uid="{B14B0E4B-9ED3-4087-A3F6-DCC79AC61DA0}">
  <cacheSource type="external" connectionId="3"/>
  <cacheFields count="3">
    <cacheField name="[InventoryData].[Category].[Category]" caption="Category" numFmtId="0" hierarchy="2" level="1">
      <sharedItems count="3">
        <s v="Category A"/>
        <s v="Category B"/>
        <s v="Category C"/>
      </sharedItems>
    </cacheField>
    <cacheField name="[Measures].[Sum of Stock Value]" caption="Sum of Stock Value" numFmtId="0" hierarchy="36"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fieldsUsage count="2">
        <fieldUsage x="-1"/>
        <fieldUsage x="0"/>
      </fieldsUsage>
    </cacheHierarchy>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7777779" backgroundQuery="1" createdVersion="8" refreshedVersion="8" minRefreshableVersion="3" recordCount="0" supportSubquery="1" supportAdvancedDrill="1" xr:uid="{D436F37A-2297-4471-9480-FF194554E6E6}">
  <cacheSource type="external" connectionId="3"/>
  <cacheFields count="3">
    <cacheField name="[InventoryData].[Category].[Category]" caption="Category" numFmtId="0" hierarchy="2" level="1">
      <sharedItems count="3">
        <s v="Category A"/>
        <s v="Category B"/>
        <s v="Category C"/>
      </sharedItems>
    </cacheField>
    <cacheField name="[Measures].[Average of Stock Value]" caption="Average of Stock Value" numFmtId="0" hierarchy="43"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fieldsUsage count="2">
        <fieldUsage x="-1"/>
        <fieldUsage x="0"/>
      </fieldsUsage>
    </cacheHierarchy>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8819441" backgroundQuery="1" createdVersion="8" refreshedVersion="8" minRefreshableVersion="3" recordCount="0" supportSubquery="1" supportAdvancedDrill="1" xr:uid="{49CA8D72-0950-4DB7-B26F-2357BB6E9501}">
  <cacheSource type="external" connectionId="3"/>
  <cacheFields count="3">
    <cacheField name="[InventoryData].[Item Name].[Item Name]" caption="Item Name" numFmtId="0" hierarchy="1" level="1">
      <sharedItems count="50">
        <s v="Electronics Item 1"/>
        <s v="Electronics Item 100"/>
        <s v="Electronics Item 11"/>
        <s v="Electronics Item 16"/>
        <s v="Electronics Item 17"/>
        <s v="Electronics Item 18"/>
        <s v="Electronics Item 19"/>
        <s v="Electronics Item 2"/>
        <s v="Electronics Item 20"/>
        <s v="Electronics Item 22"/>
        <s v="Electronics Item 24"/>
        <s v="Electronics Item 27"/>
        <s v="Electronics Item 28"/>
        <s v="Electronics Item 29"/>
        <s v="Electronics Item 30"/>
        <s v="Electronics Item 33"/>
        <s v="Electronics Item 34"/>
        <s v="Electronics Item 38"/>
        <s v="Electronics Item 4"/>
        <s v="Electronics Item 40"/>
        <s v="Electronics Item 41"/>
        <s v="Electronics Item 43"/>
        <s v="Electronics Item 47"/>
        <s v="Electronics Item 48"/>
        <s v="Electronics Item 5"/>
        <s v="Electronics Item 50"/>
        <s v="Electronics Item 51"/>
        <s v="Electronics Item 54"/>
        <s v="Electronics Item 57"/>
        <s v="Electronics Item 58"/>
        <s v="Electronics Item 61"/>
        <s v="Electronics Item 63"/>
        <s v="Electronics Item 65"/>
        <s v="Electronics Item 67"/>
        <s v="Electronics Item 69"/>
        <s v="Electronics Item 71"/>
        <s v="Electronics Item 75"/>
        <s v="Electronics Item 77"/>
        <s v="Electronics Item 78"/>
        <s v="Electronics Item 80"/>
        <s v="Electronics Item 81"/>
        <s v="Electronics Item 83"/>
        <s v="Electronics Item 84"/>
        <s v="Electronics Item 86"/>
        <s v="Electronics Item 89"/>
        <s v="Electronics Item 9"/>
        <s v="Electronics Item 90"/>
        <s v="Electronics Item 91"/>
        <s v="Electronics Item 96"/>
        <s v="Electronics Item 99"/>
      </sharedItems>
    </cacheField>
    <cacheField name="[Measures].[Sum of Reorder Level]" caption="Sum of Reorder Level" numFmtId="0" hierarchy="40"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fieldsUsage count="2">
        <fieldUsage x="-1"/>
        <fieldUsage x="0"/>
      </fieldsUsage>
    </cacheHierarchy>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2"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2"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2"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oneField="1" hidden="1">
      <fieldsUsage count="1">
        <fieldUsage x="1"/>
      </fieldsUsage>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29513888" backgroundQuery="1" createdVersion="8" refreshedVersion="8" minRefreshableVersion="3" recordCount="0" supportSubquery="1" supportAdvancedDrill="1" xr:uid="{505FBC49-3E45-4FD2-A579-AE63058FFA97}">
  <cacheSource type="external" connectionId="3"/>
  <cacheFields count="3">
    <cacheField name="[InventoryData].[Item Name].[Item Name]" caption="Item Name" numFmtId="0" hierarchy="1" level="1">
      <sharedItems count="50">
        <s v="Electronics Item 10"/>
        <s v="Electronics Item 100"/>
        <s v="Electronics Item 11"/>
        <s v="Electronics Item 12"/>
        <s v="Electronics Item 13"/>
        <s v="Electronics Item 18"/>
        <s v="Electronics Item 19"/>
        <s v="Electronics Item 2"/>
        <s v="Electronics Item 20"/>
        <s v="Electronics Item 23"/>
        <s v="Electronics Item 26"/>
        <s v="Electronics Item 29"/>
        <s v="Electronics Item 31"/>
        <s v="Electronics Item 33"/>
        <s v="Electronics Item 36"/>
        <s v="Electronics Item 37"/>
        <s v="Electronics Item 39"/>
        <s v="Electronics Item 42"/>
        <s v="Electronics Item 43"/>
        <s v="Electronics Item 44"/>
        <s v="Electronics Item 45"/>
        <s v="Electronics Item 46"/>
        <s v="Electronics Item 49"/>
        <s v="Electronics Item 51"/>
        <s v="Electronics Item 52"/>
        <s v="Electronics Item 55"/>
        <s v="Electronics Item 56"/>
        <s v="Electronics Item 57"/>
        <s v="Electronics Item 6"/>
        <s v="Electronics Item 60"/>
        <s v="Electronics Item 62"/>
        <s v="Electronics Item 63"/>
        <s v="Electronics Item 64"/>
        <s v="Electronics Item 65"/>
        <s v="Electronics Item 72"/>
        <s v="Electronics Item 74"/>
        <s v="Electronics Item 76"/>
        <s v="Electronics Item 8"/>
        <s v="Electronics Item 81"/>
        <s v="Electronics Item 83"/>
        <s v="Electronics Item 87"/>
        <s v="Electronics Item 88"/>
        <s v="Electronics Item 89"/>
        <s v="Electronics Item 9"/>
        <s v="Electronics Item 90"/>
        <s v="Electronics Item 92"/>
        <s v="Electronics Item 93"/>
        <s v="Electronics Item 97"/>
        <s v="Electronics Item 98"/>
        <s v="Electronics Item 99"/>
      </sharedItems>
    </cacheField>
    <cacheField name="[Measures].[Sum of Stock Quantity]" caption="Sum of Stock Quantity" numFmtId="0" hierarchy="35"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fieldsUsage count="2">
        <fieldUsage x="-1"/>
        <fieldUsage x="0"/>
      </fieldsUsage>
    </cacheHierarchy>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30092596" backgroundQuery="1" createdVersion="8" refreshedVersion="8" minRefreshableVersion="3" recordCount="0" supportSubquery="1" supportAdvancedDrill="1" xr:uid="{2A7407C0-2D2A-4FC6-BCC2-C975EF54674A}">
  <cacheSource type="external" connectionId="3"/>
  <cacheFields count="3">
    <cacheField name="[InventoryData].[Item Name].[Item Name]" caption="Item Name" numFmtId="0" hierarchy="1" level="1">
      <sharedItems count="100">
        <s v="Electronics Item 1"/>
        <s v="Electronics Item 10"/>
        <s v="Electronics Item 100"/>
        <s v="Electronics Item 11"/>
        <s v="Electronics Item 12"/>
        <s v="Electronics Item 13"/>
        <s v="Electronics Item 14"/>
        <s v="Electronics Item 15"/>
        <s v="Electronics Item 16"/>
        <s v="Electronics Item 17"/>
        <s v="Electronics Item 18"/>
        <s v="Electronics Item 19"/>
        <s v="Electronics Item 2"/>
        <s v="Electronics Item 20"/>
        <s v="Electronics Item 21"/>
        <s v="Electronics Item 22"/>
        <s v="Electronics Item 23"/>
        <s v="Electronics Item 24"/>
        <s v="Electronics Item 25"/>
        <s v="Electronics Item 26"/>
        <s v="Electronics Item 27"/>
        <s v="Electronics Item 28"/>
        <s v="Electronics Item 29"/>
        <s v="Electronics Item 3"/>
        <s v="Electronics Item 30"/>
        <s v="Electronics Item 31"/>
        <s v="Electronics Item 32"/>
        <s v="Electronics Item 33"/>
        <s v="Electronics Item 34"/>
        <s v="Electronics Item 35"/>
        <s v="Electronics Item 36"/>
        <s v="Electronics Item 37"/>
        <s v="Electronics Item 38"/>
        <s v="Electronics Item 39"/>
        <s v="Electronics Item 4"/>
        <s v="Electronics Item 40"/>
        <s v="Electronics Item 41"/>
        <s v="Electronics Item 42"/>
        <s v="Electronics Item 43"/>
        <s v="Electronics Item 44"/>
        <s v="Electronics Item 45"/>
        <s v="Electronics Item 46"/>
        <s v="Electronics Item 47"/>
        <s v="Electronics Item 48"/>
        <s v="Electronics Item 49"/>
        <s v="Electronics Item 5"/>
        <s v="Electronics Item 50"/>
        <s v="Electronics Item 51"/>
        <s v="Electronics Item 52"/>
        <s v="Electronics Item 53"/>
        <s v="Electronics Item 54"/>
        <s v="Electronics Item 55"/>
        <s v="Electronics Item 56"/>
        <s v="Electronics Item 57"/>
        <s v="Electronics Item 58"/>
        <s v="Electronics Item 59"/>
        <s v="Electronics Item 6"/>
        <s v="Electronics Item 60"/>
        <s v="Electronics Item 61"/>
        <s v="Electronics Item 62"/>
        <s v="Electronics Item 63"/>
        <s v="Electronics Item 64"/>
        <s v="Electronics Item 65"/>
        <s v="Electronics Item 66"/>
        <s v="Electronics Item 67"/>
        <s v="Electronics Item 68"/>
        <s v="Electronics Item 69"/>
        <s v="Electronics Item 7"/>
        <s v="Electronics Item 70"/>
        <s v="Electronics Item 71"/>
        <s v="Electronics Item 72"/>
        <s v="Electronics Item 73"/>
        <s v="Electronics Item 74"/>
        <s v="Electronics Item 75"/>
        <s v="Electronics Item 76"/>
        <s v="Electronics Item 77"/>
        <s v="Electronics Item 78"/>
        <s v="Electronics Item 79"/>
        <s v="Electronics Item 8"/>
        <s v="Electronics Item 80"/>
        <s v="Electronics Item 81"/>
        <s v="Electronics Item 82"/>
        <s v="Electronics Item 83"/>
        <s v="Electronics Item 84"/>
        <s v="Electronics Item 85"/>
        <s v="Electronics Item 86"/>
        <s v="Electronics Item 87"/>
        <s v="Electronics Item 88"/>
        <s v="Electronics Item 89"/>
        <s v="Electronics Item 9"/>
        <s v="Electronics Item 90"/>
        <s v="Electronics Item 91"/>
        <s v="Electronics Item 92"/>
        <s v="Electronics Item 93"/>
        <s v="Electronics Item 94"/>
        <s v="Electronics Item 95"/>
        <s v="Electronics Item 96"/>
        <s v="Electronics Item 97"/>
        <s v="Electronics Item 98"/>
        <s v="Electronics Item 99"/>
      </sharedItems>
    </cacheField>
    <cacheField name="[Measures].[Sum of Stock Value]" caption="Sum of Stock Value" numFmtId="0" hierarchy="36"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fieldsUsage count="2">
        <fieldUsage x="-1"/>
        <fieldUsage x="0"/>
      </fieldsUsage>
    </cacheHierarchy>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oneField="1" hidden="1">
      <fieldsUsage count="1">
        <fieldUsage x="1"/>
      </fieldsUsage>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30555558" backgroundQuery="1" createdVersion="8" refreshedVersion="8" minRefreshableVersion="3" recordCount="0" supportSubquery="1" supportAdvancedDrill="1" xr:uid="{ADA5E93B-5BA5-4238-978D-BF7A646C7A54}">
  <cacheSource type="external" connectionId="3"/>
  <cacheFields count="2">
    <cacheField name="[Measures].[Sum of Stock Quantity]" caption="Sum of Stock Quantity" numFmtId="0" hierarchy="35" level="32767"/>
    <cacheField name="[InventoryData].[Stock Status].[Stock Status]" caption="Stock Status" numFmtId="0" hierarchy="10" level="1">
      <sharedItems count="2">
        <s v="Below Reorder"/>
        <s v="Sufficient"/>
      </sharedItems>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1"/>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31134258" backgroundQuery="1" createdVersion="8" refreshedVersion="8" minRefreshableVersion="3" recordCount="0" supportSubquery="1" supportAdvancedDrill="1" xr:uid="{2B09F260-CBEB-44AF-97BC-CBD7D8D87C79}">
  <cacheSource type="external" connectionId="3"/>
  <cacheFields count="3">
    <cacheField name="[Measures].[Sum of Stock Quantity]" caption="Sum of Stock Quantity" numFmtId="0" hierarchy="35" level="32767"/>
    <cacheField name="[InventoryData].[Supplier].[Supplier]" caption="Supplier" numFmtId="0" hierarchy="6" level="1">
      <sharedItems count="3">
        <s v="Supplier X"/>
        <s v="Supplier Y"/>
        <s v="Supplier Z"/>
      </sharedItems>
    </cacheField>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fieldsUsage count="2">
        <fieldUsage x="-1"/>
        <fieldUsage x="1"/>
      </fieldsUsage>
    </cacheHierarchy>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0"/>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67931712966" backgroundQuery="1" createdVersion="8" refreshedVersion="8" minRefreshableVersion="3" recordCount="0" supportSubquery="1" supportAdvancedDrill="1" xr:uid="{8BF1D58F-A45C-45CC-AAA2-60EBA40222DD}">
  <cacheSource type="external" connectionId="3"/>
  <cacheFields count="3">
    <cacheField name="[InventoryData].[Warehouse Location].[Warehouse Location]" caption="Warehouse Location" numFmtId="0" hierarchy="9" level="1">
      <sharedItems count="3">
        <s v="Warehouse A"/>
        <s v="Warehouse B"/>
        <s v="Warehouse C"/>
      </sharedItems>
    </cacheField>
    <cacheField name="[Measures].[Sum of Stock Quantity]" caption="Sum of Stock Quantity" numFmtId="0" hierarchy="35" level="32767"/>
    <cacheField name="[InventoryData].[Stock Status].[Stock Status]" caption="Stock Status" numFmtId="0" hierarchy="10" level="1">
      <sharedItems containsSemiMixedTypes="0" containsNonDate="0" containsString="0"/>
    </cacheField>
  </cacheFields>
  <cacheHierarchies count="45">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fieldsUsage count="2">
        <fieldUsage x="-1"/>
        <fieldUsage x="0"/>
      </fieldsUsage>
    </cacheHierarchy>
    <cacheHierarchy uniqueName="[InventoryData].[Stock Status]" caption="Stock Status" attribute="1" defaultMemberUniqueName="[InventoryData].[Stock Status].[All]" allUniqueName="[InventoryData].[Stock Status].[All]" dimensionUniqueName="[InventoryData]" displayFolder="" count="2" memberValueDatatype="130" unbalanced="0">
      <fieldsUsage count="2">
        <fieldUsage x="-1"/>
        <fieldUsage x="2"/>
      </fieldsUsage>
    </cacheHierarchy>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oneField="1" hidden="1">
      <fieldsUsage count="1">
        <fieldUsage x="1"/>
      </fieldsUsage>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Last Ordered Date]" caption="Count of Last Ordered Date" measure="1" displayFolder="" measureGroup="InventoryData" count="0" hidden="1">
      <extLst>
        <ext xmlns:x15="http://schemas.microsoft.com/office/spreadsheetml/2010/11/main" uri="{B97F6D7D-B522-45F9-BDA1-12C45D357490}">
          <x15:cacheHierarchy aggregatedColumn="7"/>
        </ext>
      </extLst>
    </cacheHierarchy>
  </cacheHierarchies>
  <kpis count="0"/>
  <dimensions count="3">
    <dimension name="InventoryData" uniqueName="[InventoryData]" caption="InventoryData"/>
    <dimension measure="1" name="Measures" uniqueName="[Measures]" caption="Measures"/>
    <dimension name="Sheet1" uniqueName="[Sheet1]" caption="Sheet1"/>
  </dimensions>
  <measureGroups count="2">
    <measureGroup name="InventoryData" caption="InventoryData"/>
    <measureGroup name="Sheet1" caption="Sheet1"/>
  </measureGroups>
  <maps count="2">
    <map measureGroup="0" dimension="0"/>
    <map measureGroup="1" dimension="2"/>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yesha Banu" refreshedDate="45803.723486921299" backgroundQuery="1" createdVersion="3" refreshedVersion="8" minRefreshableVersion="3" recordCount="0" supportSubquery="1" supportAdvancedDrill="1" xr:uid="{95B7E7F0-2273-456F-900D-F91BD4B5CD8C}">
  <cacheSource type="external" connectionId="3">
    <extLst>
      <ext xmlns:x14="http://schemas.microsoft.com/office/spreadsheetml/2009/9/main" uri="{F057638F-6D5F-4e77-A914-E7F072B9BCA8}">
        <x14:sourceConnection name="ThisWorkbookDataModel"/>
      </ext>
    </extLst>
  </cacheSource>
  <cacheFields count="0"/>
  <cacheHierarchies count="44">
    <cacheHierarchy uniqueName="[InventoryData].[Item ID]" caption="Item ID" attribute="1" defaultMemberUniqueName="[InventoryData].[Item ID].[All]" allUniqueName="[InventoryData].[Item ID].[All]" dimensionUniqueName="[InventoryData]" displayFolder="" count="0" memberValueDatatype="130" unbalanced="0"/>
    <cacheHierarchy uniqueName="[InventoryData].[Item Name]" caption="Item Name" attribute="1" defaultMemberUniqueName="[InventoryData].[Item Name].[All]" allUniqueName="[InventoryData].[Item Name].[All]" dimensionUniqueName="[InventoryData]" displayFolder="" count="2" memberValueDatatype="130" unbalanced="0"/>
    <cacheHierarchy uniqueName="[InventoryData].[Category]" caption="Category" attribute="1" defaultMemberUniqueName="[InventoryData].[Category].[All]" allUniqueName="[InventoryData].[Category].[All]" dimensionUniqueName="[InventoryData]" displayFolder="" count="2" memberValueDatatype="130" unbalanced="0"/>
    <cacheHierarchy uniqueName="[InventoryData].[Stock Quantity]" caption="Stock Quantity" attribute="1" defaultMemberUniqueName="[InventoryData].[Stock Quantity].[All]" allUniqueName="[InventoryData].[Stock Quantity].[All]" dimensionUniqueName="[InventoryData]" displayFolder="" count="0" memberValueDatatype="20" unbalanced="0"/>
    <cacheHierarchy uniqueName="[InventoryData].[Reorder Level]" caption="Reorder Level" attribute="1" defaultMemberUniqueName="[InventoryData].[Reorder Level].[All]" allUniqueName="[InventoryData].[Reorder Level].[All]" dimensionUniqueName="[InventoryData]" displayFolder="" count="0" memberValueDatatype="20" unbalanced="0"/>
    <cacheHierarchy uniqueName="[InventoryData].[Unit Price]" caption="Unit Price" attribute="1" defaultMemberUniqueName="[InventoryData].[Unit Price].[All]" allUniqueName="[InventoryData].[Unit Price].[All]" dimensionUniqueName="[InventoryData]" displayFolder="" count="0" memberValueDatatype="5" unbalanced="0"/>
    <cacheHierarchy uniqueName="[InventoryData].[Supplier]" caption="Supplier" attribute="1" defaultMemberUniqueName="[InventoryData].[Supplier].[All]" allUniqueName="[InventoryData].[Supplier].[All]" dimensionUniqueName="[InventoryData]" displayFolder="" count="2" memberValueDatatype="130" unbalanced="0"/>
    <cacheHierarchy uniqueName="[InventoryData].[Last Ordered Date]" caption="Last Ordered Date" attribute="1" time="1" defaultMemberUniqueName="[InventoryData].[Last Ordered Date].[All]" allUniqueName="[InventoryData].[Last Ordered Date].[All]" dimensionUniqueName="[InventoryData]" displayFolder="" count="0" memberValueDatatype="7" unbalanced="0"/>
    <cacheHierarchy uniqueName="[InventoryData].[Next Restock Date]" caption="Next Restock Date" attribute="1" time="1" defaultMemberUniqueName="[InventoryData].[Next Restock Date].[All]" allUniqueName="[InventoryData].[Next Restock Date].[All]" dimensionUniqueName="[InventoryData]" displayFolder="" count="0" memberValueDatatype="7" unbalanced="0"/>
    <cacheHierarchy uniqueName="[InventoryData].[Warehouse Location]" caption="Warehouse Location" attribute="1" defaultMemberUniqueName="[InventoryData].[Warehouse Location].[All]" allUniqueName="[InventoryData].[Warehouse Location].[All]" dimensionUniqueName="[InventoryData]" displayFolder="" count="2" memberValueDatatype="130" unbalanced="0"/>
    <cacheHierarchy uniqueName="[InventoryData].[Stock Status]" caption="Stock Status" attribute="1" defaultMemberUniqueName="[InventoryData].[Stock Status].[All]" allUniqueName="[InventoryData].[Stock Status].[All]" dimensionUniqueName="[InventoryData]" displayFolder="" count="2" memberValueDatatype="130" unbalanced="0"/>
    <cacheHierarchy uniqueName="[InventoryData].[Stock Value]" caption="Stock Value" attribute="1" defaultMemberUniqueName="[InventoryData].[Stock Value].[All]" allUniqueName="[InventoryData].[Stock Value].[All]" dimensionUniqueName="[InventoryData]" displayFolder="" count="0" memberValueDatatype="5" unbalanced="0"/>
    <cacheHierarchy uniqueName="[InventoryData].[Month of Last Order]" caption="Month of Last Order" attribute="1" defaultMemberUniqueName="[InventoryData].[Month of Last Order].[All]" allUniqueName="[InventoryData].[Month of Last Order].[All]" dimensionUniqueName="[InventoryData]" displayFolder="" count="0" memberValueDatatype="130" unbalanced="0"/>
    <cacheHierarchy uniqueName="[InventoryData].[Total Value]" caption="Total Value" attribute="1" defaultMemberUniqueName="[InventoryData].[Total Value].[All]" allUniqueName="[InventoryData].[Total Value].[All]" dimensionUniqueName="[InventoryData]" displayFolder="" count="0" memberValueDatatype="5" unbalanced="0"/>
    <cacheHierarchy uniqueName="[InventoryData].[Next Restock Date (Year)]" caption="Next Restock Date (Year)" attribute="1" defaultMemberUniqueName="[InventoryData].[Next Restock Date (Year)].[All]" allUniqueName="[InventoryData].[Next Restock Date (Year)].[All]" dimensionUniqueName="[InventoryData]" displayFolder="" count="0" memberValueDatatype="130" unbalanced="0"/>
    <cacheHierarchy uniqueName="[InventoryData].[Next Restock Date (Quarter)]" caption="Next Restock Date (Quarter)" attribute="1" defaultMemberUniqueName="[InventoryData].[Next Restock Date (Quarter)].[All]" allUniqueName="[InventoryData].[Next Restock Date (Quarter)].[All]" dimensionUniqueName="[InventoryData]" displayFolder="" count="0" memberValueDatatype="130" unbalanced="0"/>
    <cacheHierarchy uniqueName="[InventoryData].[Next Restock Date (Month)]" caption="Next Restock Date (Month)" attribute="1" defaultMemberUniqueName="[InventoryData].[Next Restock Date (Month)].[All]" allUniqueName="[InventoryData].[Next Restock Date (Month)].[All]" dimensionUniqueName="[InventoryData]" displayFolder="" count="0" memberValueDatatype="130" unbalanced="0"/>
    <cacheHierarchy uniqueName="[InventoryData].[Last Ordered Date (Year)]" caption="Last Ordered Date (Year)" attribute="1" defaultMemberUniqueName="[InventoryData].[Last Ordered Date (Year)].[All]" allUniqueName="[InventoryData].[Last Ordered Date (Year)].[All]" dimensionUniqueName="[InventoryData]" displayFolder="" count="0" memberValueDatatype="130" unbalanced="0"/>
    <cacheHierarchy uniqueName="[InventoryData].[Last Ordered Date (Quarter)]" caption="Last Ordered Date (Quarter)" attribute="1" defaultMemberUniqueName="[InventoryData].[Last Ordered Date (Quarter)].[All]" allUniqueName="[InventoryData].[Last Ordered Date (Quarter)].[All]" dimensionUniqueName="[InventoryData]" displayFolder="" count="0" memberValueDatatype="130" unbalanced="0"/>
    <cacheHierarchy uniqueName="[InventoryData].[Last Ordered Date (Month)]" caption="Last Ordered Date (Month)" attribute="1" defaultMemberUniqueName="[InventoryData].[Last Ordered Date (Month)].[All]" allUniqueName="[InventoryData].[Last Ordered Date (Month)].[All]" dimensionUniqueName="[InventoryData]" displayFolder="" count="0" memberValueDatatype="130" unbalanced="0"/>
    <cacheHierarchy uniqueName="[Sheet1].[Item ID]" caption="Item ID" attribute="1" defaultMemberUniqueName="[Sheet1].[Item ID].[All]" allUniqueName="[Sheet1].[Item ID].[All]" dimensionUniqueName="[Sheet1]" displayFolder="" count="0" memberValueDatatype="130" unbalanced="0"/>
    <cacheHierarchy uniqueName="[Sheet1].[Item Name]" caption="Item Name" attribute="1" defaultMemberUniqueName="[Sheet1].[Item Name].[All]" allUniqueName="[Sheet1].[Item Name].[All]" dimensionUniqueName="[Sheet1]" displayFolder="" count="0" memberValueDatatype="130" unbalanced="0"/>
    <cacheHierarchy uniqueName="[Sheet1].[Category]" caption="Category" attribute="1" defaultMemberUniqueName="[Sheet1].[Category].[All]" allUniqueName="[Sheet1].[Category].[All]" dimensionUniqueName="[Sheet1]" displayFolder="" count="0" memberValueDatatype="130" unbalanced="0"/>
    <cacheHierarchy uniqueName="[Sheet1].[Stock Quantity]" caption="Stock Quantity" attribute="1" defaultMemberUniqueName="[Sheet1].[Stock Quantity].[All]" allUniqueName="[Sheet1].[Stock Quantity].[All]" dimensionUniqueName="[Sheet1]" displayFolder="" count="0" memberValueDatatype="20" unbalanced="0"/>
    <cacheHierarchy uniqueName="[Sheet1].[Reorder Level]" caption="Reorder Level" attribute="1" defaultMemberUniqueName="[Sheet1].[Reorder Level].[All]" allUniqueName="[Sheet1].[Reorder Level].[All]" dimensionUniqueName="[Sheet1]" displayFolder="" count="0" memberValueDatatype="20" unbalanced="0"/>
    <cacheHierarchy uniqueName="[Sheet1].[Unit Price]" caption="Unit Price" attribute="1" defaultMemberUniqueName="[Sheet1].[Unit Price].[All]" allUniqueName="[Sheet1].[Unit Price].[All]" dimensionUniqueName="[Sheet1]" displayFolder="" count="0" memberValueDatatype="5" unbalanced="0"/>
    <cacheHierarchy uniqueName="[Sheet1].[Supplier]" caption="Supplier" attribute="1" defaultMemberUniqueName="[Sheet1].[Supplier].[All]" allUniqueName="[Sheet1].[Supplier].[All]" dimensionUniqueName="[Sheet1]" displayFolder="" count="0" memberValueDatatype="130" unbalanced="0"/>
    <cacheHierarchy uniqueName="[Sheet1].[Last Ordered Date]" caption="Last Ordered Date" attribute="1" time="1" defaultMemberUniqueName="[Sheet1].[Last Ordered Date].[All]" allUniqueName="[Sheet1].[Last Ordered Date].[All]" dimensionUniqueName="[Sheet1]" displayFolder="" count="0" memberValueDatatype="7" unbalanced="0"/>
    <cacheHierarchy uniqueName="[Sheet1].[Next Restock Date]" caption="Next Restock Date" attribute="1" time="1" defaultMemberUniqueName="[Sheet1].[Next Restock Date].[All]" allUniqueName="[Sheet1].[Next Restock Date].[All]" dimensionUniqueName="[Sheet1]" displayFolder="" count="0" memberValueDatatype="7" unbalanced="0"/>
    <cacheHierarchy uniqueName="[Sheet1].[Warehouse Location]" caption="Warehouse Location" attribute="1" defaultMemberUniqueName="[Sheet1].[Warehouse Location].[All]" allUniqueName="[Sheet1].[Warehouse Location].[All]" dimensionUniqueName="[Sheet1]" displayFolder="" count="0" memberValueDatatype="130" unbalanced="0"/>
    <cacheHierarchy uniqueName="[InventoryData].[Last Ordered Date (Month Index)]" caption="Last Ordered Date (Month Index)" attribute="1" defaultMemberUniqueName="[InventoryData].[Last Ordered Date (Month Index)].[All]" allUniqueName="[InventoryData].[Last Ordered Date (Month Index)].[All]" dimensionUniqueName="[InventoryData]" displayFolder="" count="0" memberValueDatatype="20" unbalanced="0" hidden="1"/>
    <cacheHierarchy uniqueName="[InventoryData].[Next Restock Date (Month Index)]" caption="Next Restock Date (Month Index)" attribute="1" defaultMemberUniqueName="[InventoryData].[Next Restock Date (Month Index)].[All]" allUniqueName="[InventoryData].[Next Restock Date (Month Index)].[All]" dimensionUniqueName="[InventoryData]" displayFolder="" count="0" memberValueDatatype="20" unbalanced="0" hidden="1"/>
    <cacheHierarchy uniqueName="[Measures].[__XL_Count Sheet1]" caption="__XL_Count Sheet1" measure="1" displayFolder="" measureGroup="Sheet1" count="0" hidden="1"/>
    <cacheHierarchy uniqueName="[Measures].[__XL_Count InventoryData]" caption="__XL_Count InventoryData" measure="1" displayFolder="" measureGroup="InventoryData" count="0" hidden="1"/>
    <cacheHierarchy uniqueName="[Measures].[__No measures defined]" caption="__No measures defined" measure="1" displayFolder="" count="0" hidden="1"/>
    <cacheHierarchy uniqueName="[Measures].[Sum of Stock Quantity]" caption="Sum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Sum of Stock Value]" caption="Sum of Stock Value" measure="1" displayFolder="" measureGroup="InventoryData" count="0" hidden="1">
      <extLst>
        <ext xmlns:x15="http://schemas.microsoft.com/office/spreadsheetml/2010/11/main" uri="{B97F6D7D-B522-45F9-BDA1-12C45D357490}">
          <x15:cacheHierarchy aggregatedColumn="11"/>
        </ext>
      </extLst>
    </cacheHierarchy>
    <cacheHierarchy uniqueName="[Measures].[Count of Item ID]" caption="Count of Item ID" measure="1" displayFolder="" measureGroup="InventoryData" count="0" hidden="1">
      <extLst>
        <ext xmlns:x15="http://schemas.microsoft.com/office/spreadsheetml/2010/11/main" uri="{B97F6D7D-B522-45F9-BDA1-12C45D357490}">
          <x15:cacheHierarchy aggregatedColumn="0"/>
        </ext>
      </extLst>
    </cacheHierarchy>
    <cacheHierarchy uniqueName="[Measures].[Sum of Unit Price]" caption="Sum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Average of Unit Price]" caption="Average of Unit Price" measure="1" displayFolder="" measureGroup="InventoryData" count="0" hidden="1">
      <extLst>
        <ext xmlns:x15="http://schemas.microsoft.com/office/spreadsheetml/2010/11/main" uri="{B97F6D7D-B522-45F9-BDA1-12C45D357490}">
          <x15:cacheHierarchy aggregatedColumn="5"/>
        </ext>
      </extLst>
    </cacheHierarchy>
    <cacheHierarchy uniqueName="[Measures].[Sum of Reorder Level]" caption="Sum of Reorder Level" measure="1" displayFolder="" measureGroup="InventoryData" count="0" hidden="1">
      <extLst>
        <ext xmlns:x15="http://schemas.microsoft.com/office/spreadsheetml/2010/11/main" uri="{B97F6D7D-B522-45F9-BDA1-12C45D357490}">
          <x15:cacheHierarchy aggregatedColumn="4"/>
        </ext>
      </extLst>
    </cacheHierarchy>
    <cacheHierarchy uniqueName="[Measures].[Sum of Total Value]" caption="Sum of Total Value" measure="1" displayFolder="" measureGroup="InventoryData" count="0" hidden="1">
      <extLst>
        <ext xmlns:x15="http://schemas.microsoft.com/office/spreadsheetml/2010/11/main" uri="{B97F6D7D-B522-45F9-BDA1-12C45D357490}">
          <x15:cacheHierarchy aggregatedColumn="13"/>
        </ext>
      </extLst>
    </cacheHierarchy>
    <cacheHierarchy uniqueName="[Measures].[Average of Stock Quantity]" caption="Average of Stock Quantity" measure="1" displayFolder="" measureGroup="InventoryData" count="0" hidden="1">
      <extLst>
        <ext xmlns:x15="http://schemas.microsoft.com/office/spreadsheetml/2010/11/main" uri="{B97F6D7D-B522-45F9-BDA1-12C45D357490}">
          <x15:cacheHierarchy aggregatedColumn="3"/>
        </ext>
      </extLst>
    </cacheHierarchy>
    <cacheHierarchy uniqueName="[Measures].[Average of Stock Value]" caption="Average of Stock Value" measure="1" displayFolder="" measureGroup="InventoryData"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121978637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4F16B81-77BD-48A7-A20A-BDC188A9AC11}" name="PivotTable18"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D57:E108" firstHeaderRow="1" firstDataRow="1" firstDataCol="1"/>
  <pivotFields count="3">
    <pivotField axis="axisRow" allDrilled="1" subtotalTop="0" showAll="0" measureFilter="1" sortType="ascending"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1">
    <i>
      <x v="26"/>
    </i>
    <i>
      <x v="4"/>
    </i>
    <i>
      <x v="32"/>
    </i>
    <i>
      <x v="33"/>
    </i>
    <i>
      <x v="27"/>
    </i>
    <i>
      <x v="35"/>
    </i>
    <i>
      <x v="17"/>
    </i>
    <i>
      <x v="16"/>
    </i>
    <i>
      <x v="2"/>
    </i>
    <i>
      <x v="6"/>
    </i>
    <i>
      <x v="20"/>
    </i>
    <i>
      <x v="49"/>
    </i>
    <i>
      <x v="36"/>
    </i>
    <i>
      <x v="39"/>
    </i>
    <i>
      <x v="41"/>
    </i>
    <i>
      <x v="43"/>
    </i>
    <i>
      <x v="10"/>
    </i>
    <i>
      <x v="34"/>
    </i>
    <i>
      <x v="5"/>
    </i>
    <i>
      <x v="44"/>
    </i>
    <i>
      <x v="40"/>
    </i>
    <i>
      <x v="22"/>
    </i>
    <i>
      <x v="45"/>
    </i>
    <i>
      <x v="25"/>
    </i>
    <i>
      <x v="19"/>
    </i>
    <i>
      <x v="11"/>
    </i>
    <i>
      <x v="48"/>
    </i>
    <i>
      <x/>
    </i>
    <i>
      <x v="23"/>
    </i>
    <i>
      <x v="47"/>
    </i>
    <i>
      <x v="29"/>
    </i>
    <i>
      <x v="28"/>
    </i>
    <i>
      <x v="21"/>
    </i>
    <i>
      <x v="18"/>
    </i>
    <i>
      <x v="31"/>
    </i>
    <i>
      <x v="9"/>
    </i>
    <i>
      <x v="8"/>
    </i>
    <i>
      <x v="37"/>
    </i>
    <i>
      <x v="14"/>
    </i>
    <i>
      <x v="38"/>
    </i>
    <i>
      <x v="1"/>
    </i>
    <i>
      <x v="42"/>
    </i>
    <i>
      <x v="13"/>
    </i>
    <i>
      <x v="24"/>
    </i>
    <i>
      <x v="15"/>
    </i>
    <i>
      <x v="7"/>
    </i>
    <i>
      <x v="46"/>
    </i>
    <i>
      <x v="12"/>
    </i>
    <i>
      <x v="30"/>
    </i>
    <i>
      <x v="3"/>
    </i>
    <i t="grand">
      <x/>
    </i>
  </rowItems>
  <colItems count="1">
    <i/>
  </colItems>
  <dataFields count="1">
    <dataField name="Sum of Stock Quantity" fld="1" baseField="0" baseItem="0"/>
  </dataFields>
  <chartFormats count="3">
    <chartFormat chart="0"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35">
      <autoFilter ref="A1">
        <filterColumn colId="0">
          <top10 val="50" filterVal="5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0632A5-988E-465A-B17C-7504B20B5137}" name="PivotTable19" cacheId="1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G57:H158" firstHeaderRow="1" firstDataRow="1" firstDataCol="1"/>
  <pivotFields count="3">
    <pivotField axis="axisRow" allDrilled="1" subtotalTop="0" showAll="0" dataSourceSort="1" defaultSubtotal="0" defaultAttributeDrillState="1">
      <items count="10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s>
    </pivotField>
    <pivotField dataField="1" subtotalTop="0" showAll="0" defaultSubtotal="0"/>
    <pivotField allDrilled="1" subtotalTop="0" showAll="0" dataSourceSort="1" defaultSubtotal="0" defaultAttributeDrillState="1"/>
  </pivotFields>
  <rowFields count="1">
    <field x="0"/>
  </rowFields>
  <rowItems count="1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t="grand">
      <x/>
    </i>
  </rowItems>
  <colItems count="1">
    <i/>
  </colItems>
  <dataFields count="1">
    <dataField name="Sum of Stock Value" fld="1" baseField="0" baseItem="0"/>
  </dataFields>
  <chartFormats count="1">
    <chartFormat chart="0" format="0"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606260-6829-409E-825B-39630DA4B77D}" name="PivotTable17" cacheId="13"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6">
  <location ref="A57:B108" firstHeaderRow="1" firstDataRow="1" firstDataCol="1"/>
  <pivotFields count="3">
    <pivotField axis="axisRow" allDrilled="1" subtotalTop="0" showAll="0" measureFilter="1" sortType="ascending" defaultSubtotal="0" defaultAttributeDrillState="1">
      <items count="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1">
    <i>
      <x v="30"/>
    </i>
    <i>
      <x v="6"/>
    </i>
    <i>
      <x v="18"/>
    </i>
    <i>
      <x v="28"/>
    </i>
    <i>
      <x v="42"/>
    </i>
    <i>
      <x v="47"/>
    </i>
    <i>
      <x v="32"/>
    </i>
    <i>
      <x v="43"/>
    </i>
    <i>
      <x v="2"/>
    </i>
    <i>
      <x v="33"/>
    </i>
    <i>
      <x v="5"/>
    </i>
    <i>
      <x v="8"/>
    </i>
    <i>
      <x v="9"/>
    </i>
    <i>
      <x v="41"/>
    </i>
    <i>
      <x v="7"/>
    </i>
    <i>
      <x v="17"/>
    </i>
    <i>
      <x v="40"/>
    </i>
    <i>
      <x v="45"/>
    </i>
    <i>
      <x v="39"/>
    </i>
    <i>
      <x/>
    </i>
    <i>
      <x v="15"/>
    </i>
    <i>
      <x v="21"/>
    </i>
    <i>
      <x v="13"/>
    </i>
    <i>
      <x v="46"/>
    </i>
    <i>
      <x v="1"/>
    </i>
    <i>
      <x v="27"/>
    </i>
    <i>
      <x v="34"/>
    </i>
    <i>
      <x v="11"/>
    </i>
    <i>
      <x v="29"/>
    </i>
    <i>
      <x v="3"/>
    </i>
    <i>
      <x v="14"/>
    </i>
    <i>
      <x v="10"/>
    </i>
    <i>
      <x v="37"/>
    </i>
    <i>
      <x v="4"/>
    </i>
    <i>
      <x v="24"/>
    </i>
    <i>
      <x v="19"/>
    </i>
    <i>
      <x v="35"/>
    </i>
    <i>
      <x v="48"/>
    </i>
    <i>
      <x v="31"/>
    </i>
    <i>
      <x v="20"/>
    </i>
    <i>
      <x v="16"/>
    </i>
    <i>
      <x v="44"/>
    </i>
    <i>
      <x v="23"/>
    </i>
    <i>
      <x v="36"/>
    </i>
    <i>
      <x v="12"/>
    </i>
    <i>
      <x v="25"/>
    </i>
    <i>
      <x v="22"/>
    </i>
    <i>
      <x v="38"/>
    </i>
    <i>
      <x v="26"/>
    </i>
    <i>
      <x v="49"/>
    </i>
    <i t="grand">
      <x/>
    </i>
  </rowItems>
  <colItems count="1">
    <i/>
  </colItems>
  <dataFields count="1">
    <dataField name="Sum of Reorder Level" fld="1" baseField="0" baseItem="0"/>
  </dataFields>
  <chartFormats count="2">
    <chartFormat chart="0" format="0"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3" iMeasureHier="40">
      <autoFilter ref="A1">
        <filterColumn colId="0">
          <top10 val="50" filterVal="50"/>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8F6B180-ACCB-4E99-A081-81D8C6952FE5}" name="PivotTable4"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G1:G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tock Value" fld="0" subtotal="average" baseField="0" baseItem="0" numFmtId="165"/>
  </dataField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Stock Value"/>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E206AD7-4496-4929-B4F6-9EB280B42F8C}" name="PivotTable15"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M30:N3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tock Value" fld="1"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05D946D-883A-4DDB-8B15-BBEF750677FF}" name="PivotTable10"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D7:E11"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tock Value" fld="1"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A429966-2511-4D7A-A32B-8670E870B780}" name="PivotTable6"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0:B34" firstHeaderRow="1" firstDataRow="1" firstDataCol="1"/>
  <pivotFields count="3">
    <pivotField dataField="1" subtotalTop="0" showAll="0" defaultSubtotal="0"/>
    <pivotField axis="axisRow" allDrilled="1" subtotalTop="0" showAll="0" dataSourceSort="1" defaultSubtotal="0" defaultAttributeDrillState="1">
      <items count="3">
        <item x="0"/>
        <item x="1"/>
        <item x="2"/>
      </items>
    </pivotField>
    <pivotField allDrilled="1" subtotalTop="0" showAll="0" dataSourceSort="1" defaultSubtotal="0" defaultAttributeDrillState="1"/>
  </pivotFields>
  <rowFields count="1">
    <field x="1"/>
  </rowFields>
  <rowItems count="4">
    <i>
      <x/>
    </i>
    <i>
      <x v="1"/>
    </i>
    <i>
      <x v="2"/>
    </i>
    <i t="grand">
      <x/>
    </i>
  </rowItems>
  <colItems count="1">
    <i/>
  </colItems>
  <dataFields count="1">
    <dataField name="Sum of Stock Quantity" fld="0"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A0B017FB-3E6A-40DB-B47B-8CB4CE908A97}" name="PivotTable9" cacheId="1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7:B11"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tock Quantity" fld="1" baseField="0" baseItem="0"/>
  </dataFields>
  <chartFormats count="1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2" format="4" series="1">
      <pivotArea type="data" outline="0" fieldPosition="0">
        <references count="1">
          <reference field="4294967294" count="1" selected="0">
            <x v="0"/>
          </reference>
        </references>
      </pivotArea>
    </chartFormat>
    <chartFormat chart="2" format="5">
      <pivotArea type="data" outline="0" fieldPosition="0">
        <references count="2">
          <reference field="4294967294" count="1" selected="0">
            <x v="0"/>
          </reference>
          <reference field="0" count="1" selected="0">
            <x v="0"/>
          </reference>
        </references>
      </pivotArea>
    </chartFormat>
    <chartFormat chart="2" format="6">
      <pivotArea type="data" outline="0" fieldPosition="0">
        <references count="2">
          <reference field="4294967294" count="1" selected="0">
            <x v="0"/>
          </reference>
          <reference field="0" count="1" selected="0">
            <x v="1"/>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A9D0014-ED92-4666-87AF-B3C156CD2202}" name="PivotTable7"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L1:M4" firstHeaderRow="1" firstDataRow="1" firstDataCol="1"/>
  <pivotFields count="2">
    <pivotField axis="axisRow" allDrilled="1" subtotalTop="0" showAll="0" dataSourceSort="1" defaultSubtotal="0" defaultAttributeDrillState="1">
      <items count="2">
        <item x="0"/>
        <item x="1"/>
      </items>
    </pivotField>
    <pivotField dataField="1" subtotalTop="0" showAll="0" defaultSubtotal="0"/>
  </pivotFields>
  <rowFields count="1">
    <field x="0"/>
  </rowFields>
  <rowItems count="3">
    <i>
      <x/>
    </i>
    <i>
      <x v="1"/>
    </i>
    <i t="grand">
      <x/>
    </i>
  </rowItems>
  <colItems count="1">
    <i/>
  </colItems>
  <dataFields count="1">
    <dataField name="Count of Item ID" fld="1" subtotal="count" baseField="0" baseItem="0"/>
  </dataFields>
  <chartFormats count="6">
    <chartFormat chart="0" format="0"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0"/>
          </reference>
        </references>
      </pivotArea>
    </chartFormat>
    <chartFormat chart="3" format="5">
      <pivotArea type="data" outline="0" fieldPosition="0">
        <references count="2">
          <reference field="4294967294" count="1" selected="0">
            <x v="0"/>
          </reference>
          <reference field="0" count="1" selected="0">
            <x v="0"/>
          </reference>
        </references>
      </pivotArea>
    </chartFormat>
    <chartFormat chart="3" format="6">
      <pivotArea type="data" outline="0" fieldPosition="0">
        <references count="2">
          <reference field="4294967294" count="1" selected="0">
            <x v="0"/>
          </reference>
          <reference field="0" count="1" selected="0">
            <x v="1"/>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135BE13-2309-48A7-A7BC-C5F4F7F0C7CB}" name="PivotTable13" cacheId="9"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4">
  <location ref="G30:I35" firstHeaderRow="1" firstDataRow="2" firstDataCol="1"/>
  <pivotFields count="3">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2">
        <item x="0"/>
        <item x="1"/>
      </items>
    </pivotField>
    <pivotField dataField="1" subtotalTop="0" showAll="0" defaultSubtotal="0"/>
  </pivotFields>
  <rowFields count="1">
    <field x="0"/>
  </rowFields>
  <rowItems count="4">
    <i>
      <x/>
    </i>
    <i>
      <x v="1"/>
    </i>
    <i>
      <x v="2"/>
    </i>
    <i t="grand">
      <x/>
    </i>
  </rowItems>
  <colFields count="1">
    <field x="1"/>
  </colFields>
  <colItems count="2">
    <i>
      <x/>
    </i>
    <i>
      <x v="1"/>
    </i>
  </colItems>
  <dataFields count="1">
    <dataField name="Sum of Stock Quantity" fld="2" baseField="0" baseItem="0"/>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2">
          <reference field="4294967294" count="1" selected="0">
            <x v="0"/>
          </reference>
          <reference field="1" count="1" selected="0">
            <x v="1"/>
          </reference>
        </references>
      </pivotArea>
    </chartFormat>
    <chartFormat chart="3" format="5" series="1">
      <pivotArea type="data" outline="0" fieldPosition="0">
        <references count="2">
          <reference field="4294967294" count="1" selected="0">
            <x v="0"/>
          </reference>
          <reference field="1" count="1" selected="0">
            <x v="0"/>
          </reference>
        </references>
      </pivotArea>
    </chartFormat>
    <chartFormat chart="0" format="5" series="1">
      <pivotArea type="data" outline="0" fieldPosition="0">
        <references count="2">
          <reference field="4294967294" count="1" selected="0">
            <x v="0"/>
          </reference>
          <reference field="1"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CFE0A5E7-2B39-4DA7-BC66-CD76B288E607}" name="PivotTable14" cacheId="1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J30:K3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tock Quantity" fld="1" baseField="0" baseItem="0"/>
  </dataFields>
  <chartFormats count="4">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0"/>
          </reference>
        </references>
      </pivotArea>
    </chartFormat>
    <chartFormat chart="5" format="4"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7F6ECC5-EB1F-4131-A17A-2C0D6259F34C}" name="PivotTable11"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G7:H11"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Average of Stock Value" fld="1" subtotal="average" baseField="0" baseItem="0"/>
  </dataFields>
  <chartFormats count="8">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5" format="8" series="1">
      <pivotArea type="data" outline="0" fieldPosition="0">
        <references count="1">
          <reference field="4294967294" count="1" selected="0">
            <x v="0"/>
          </reference>
        </references>
      </pivotArea>
    </chartFormat>
    <chartFormat chart="5" format="9">
      <pivotArea type="data" outline="0" fieldPosition="0">
        <references count="2">
          <reference field="4294967294" count="1" selected="0">
            <x v="0"/>
          </reference>
          <reference field="0" count="1" selected="0">
            <x v="0"/>
          </reference>
        </references>
      </pivotArea>
    </chartFormat>
    <chartFormat chart="5" format="10">
      <pivotArea type="data" outline="0" fieldPosition="0">
        <references count="2">
          <reference field="4294967294" count="1" selected="0">
            <x v="0"/>
          </reference>
          <reference field="0" count="1" selected="0">
            <x v="1"/>
          </reference>
        </references>
      </pivotArea>
    </chartFormat>
    <chartFormat chart="5" format="11">
      <pivotArea type="data" outline="0" fieldPosition="0">
        <references count="2">
          <reference field="4294967294" count="1" selected="0">
            <x v="0"/>
          </reference>
          <reference field="0" count="1" selected="0">
            <x v="2"/>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caption="Average of Stock Value"/>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457B161F-77F3-4ADE-B467-F90117CA8865}" name="PivotTable3"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E1:E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tock Quantity" fld="0" subtotal="average" baseField="0" baseItem="0"/>
  </dataField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Stock Quantity"/>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9E1EDDC2-109A-4CCF-8483-D401B8D537F6}"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A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tock Quantity" fld="0" baseField="0" baseItem="0"/>
  </dataField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B30A7595-68C9-4D97-8E42-CFB2308A16BF}"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O1:P5"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tock Value" fld="1"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6AA8166B-2294-4AD7-ABB6-5BBBF25B138E}" name="PivotTable2"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location ref="C1:C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tock Value" fld="0" baseField="0" baseItem="0" numFmtId="165"/>
  </dataField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7AC0C54A-2FA5-4E25-AEFA-4139FA0AC4CC}" name="PivotTable16"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P30:Q3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Average of Stock Value" fld="1" subtotal="average" baseField="0" baseItem="0"/>
  </dataFields>
  <chartFormats count="1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0" count="1" selected="0">
            <x v="0"/>
          </reference>
        </references>
      </pivotArea>
    </chartFormat>
    <chartFormat chart="3" format="10">
      <pivotArea type="data" outline="0" fieldPosition="0">
        <references count="2">
          <reference field="4294967294" count="1" selected="0">
            <x v="0"/>
          </reference>
          <reference field="0" count="1" selected="0">
            <x v="1"/>
          </reference>
        </references>
      </pivotArea>
    </chartFormat>
    <chartFormat chart="3" format="11">
      <pivotArea type="data" outline="0" fieldPosition="0">
        <references count="2">
          <reference field="4294967294" count="1" selected="0">
            <x v="0"/>
          </reference>
          <reference field="0" count="1" selected="0">
            <x v="2"/>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0" count="1" selected="0">
            <x v="0"/>
          </reference>
        </references>
      </pivotArea>
    </chartFormat>
    <chartFormat chart="4" format="14">
      <pivotArea type="data" outline="0" fieldPosition="0">
        <references count="2">
          <reference field="4294967294" count="1" selected="0">
            <x v="0"/>
          </reference>
          <reference field="0" count="1" selected="0">
            <x v="1"/>
          </reference>
        </references>
      </pivotArea>
    </chartFormat>
    <chartFormat chart="4" format="15">
      <pivotArea type="data" outline="0" fieldPosition="0">
        <references count="2">
          <reference field="4294967294" count="1" selected="0">
            <x v="0"/>
          </reference>
          <reference field="0" count="1" selected="0">
            <x v="2"/>
          </reference>
        </references>
      </pivotArea>
    </chartFormat>
    <chartFormat chart="5" format="16" series="1">
      <pivotArea type="data" outline="0" fieldPosition="0">
        <references count="1">
          <reference field="4294967294" count="1" selected="0">
            <x v="0"/>
          </reference>
        </references>
      </pivotArea>
    </chartFormat>
    <chartFormat chart="5" format="17">
      <pivotArea type="data" outline="0" fieldPosition="0">
        <references count="2">
          <reference field="4294967294" count="1" selected="0">
            <x v="0"/>
          </reference>
          <reference field="0" count="1" selected="0">
            <x v="0"/>
          </reference>
        </references>
      </pivotArea>
    </chartFormat>
    <chartFormat chart="5" format="18">
      <pivotArea type="data" outline="0" fieldPosition="0">
        <references count="2">
          <reference field="4294967294" count="1" selected="0">
            <x v="0"/>
          </reference>
          <reference field="0" count="1" selected="0">
            <x v="1"/>
          </reference>
        </references>
      </pivotArea>
    </chartFormat>
    <chartFormat chart="5" format="19">
      <pivotArea type="data" outline="0" fieldPosition="0">
        <references count="2">
          <reference field="4294967294" count="1" selected="0">
            <x v="0"/>
          </reference>
          <reference field="0" count="1" selected="0">
            <x v="2"/>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caption="Average of Stock Quantity"/>
    <pivotHierarchy dragToData="1" caption="Average of Stock Value"/>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DD233C55-F22D-42F7-8F9C-4B37E1317241}" name="PivotTable5"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I3:J6" firstHeaderRow="1" firstDataRow="1" firstDataCol="1"/>
  <pivotFields count="2">
    <pivotField dataField="1" subtotalTop="0" showAll="0" defaultSubtotal="0"/>
    <pivotField axis="axisRow" allDrilled="1" subtotalTop="0" showAll="0" dataSourceSort="1" defaultSubtotal="0" defaultAttributeDrillState="1">
      <items count="2">
        <item x="0"/>
        <item x="1"/>
      </items>
    </pivotField>
  </pivotFields>
  <rowFields count="1">
    <field x="1"/>
  </rowFields>
  <rowItems count="3">
    <i>
      <x/>
    </i>
    <i>
      <x v="1"/>
    </i>
    <i t="grand">
      <x/>
    </i>
  </rowItems>
  <colItems count="1">
    <i/>
  </colItems>
  <dataFields count="1">
    <dataField name="Sum of Stock Quantity" fld="0" baseField="0" baseItem="0"/>
  </dataField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9CCDBC57-F978-497F-997B-C216F4E23160}" name="PivotTable12"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D30:E34"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tock Value" fld="1"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Hierarchies count="45">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InventoryData">
        <x15:activeTabTopLevelEntity name="[Inventory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FE0C375F-E9A1-4A6C-BC29-710659456A87}" autoFormatId="16" applyNumberFormats="0" applyBorderFormats="0" applyFontFormats="0" applyPatternFormats="0" applyAlignmentFormats="0" applyWidthHeightFormats="0">
  <queryTableRefresh nextId="16" unboundColumnsRight="4">
    <queryTableFields count="14">
      <queryTableField id="1" name="Item ID" tableColumnId="1"/>
      <queryTableField id="2" name="Item Name" tableColumnId="2"/>
      <queryTableField id="3" name="Category" tableColumnId="3"/>
      <queryTableField id="4" name="Stock Quantity" tableColumnId="4"/>
      <queryTableField id="5" name="Reorder Level" tableColumnId="5"/>
      <queryTableField id="6" name="Unit Price" tableColumnId="6"/>
      <queryTableField id="7" name="Supplier" tableColumnId="7"/>
      <queryTableField id="8" name="Last Ordered Date" tableColumnId="8"/>
      <queryTableField id="9" name="Next Restock Date" tableColumnId="9"/>
      <queryTableField id="10" name="Warehouse Location" tableColumnId="10"/>
      <queryTableField id="11" dataBound="0" tableColumnId="11"/>
      <queryTableField id="12" dataBound="0" tableColumnId="12"/>
      <queryTableField id="13" dataBound="0" tableColumnId="13"/>
      <queryTableField id="15" dataBound="0" tableColumnId="14"/>
    </queryTableFields>
  </queryTableRefresh>
  <extLst>
    <ext xmlns:x15="http://schemas.microsoft.com/office/spreadsheetml/2010/11/main" uri="{883FBD77-0823-4a55-B5E3-86C4891E6966}">
      <x15:queryTable sourceDataName="Query - Sheet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C1D24A6-5D20-496D-88A2-5938DF5CDB5F}" sourceName="[InventoryData].[Category]">
  <pivotTables>
    <pivotTable tabId="7" name="PivotTable8"/>
    <pivotTable tabId="7" name="PivotTable1"/>
    <pivotTable tabId="7" name="PivotTable2"/>
    <pivotTable tabId="7" name="PivotTable3"/>
    <pivotTable tabId="7" name="PivotTable4"/>
    <pivotTable tabId="7" name="PivotTable5"/>
    <pivotTable tabId="7" name="PivotTable7"/>
    <pivotTable tabId="7" name="PivotTable10"/>
    <pivotTable tabId="7" name="PivotTable11"/>
    <pivotTable tabId="7" name="PivotTable12"/>
    <pivotTable tabId="7" name="PivotTable13"/>
    <pivotTable tabId="7" name="PivotTable14"/>
    <pivotTable tabId="7" name="PivotTable15"/>
    <pivotTable tabId="7" name="PivotTable16"/>
    <pivotTable tabId="7" name="PivotTable17"/>
    <pivotTable tabId="7" name="PivotTable18"/>
    <pivotTable tabId="7" name="PivotTable19"/>
    <pivotTable tabId="7" name="PivotTable6"/>
    <pivotTable tabId="7" name="PivotTable9"/>
  </pivotTables>
  <data>
    <olap pivotCacheId="1219786375">
      <levels count="2">
        <level uniqueName="[InventoryData].[Category].[(All)]" sourceCaption="(All)" count="0"/>
        <level uniqueName="[InventoryData].[Category].[Category]" sourceCaption="Category" count="3">
          <ranges>
            <range startItem="0">
              <i n="[InventoryData].[Category].&amp;[Category A]" c="Category A"/>
              <i n="[InventoryData].[Category].&amp;[Category B]" c="Category B"/>
              <i n="[InventoryData].[Category].&amp;[Category C]" c="Category C"/>
            </range>
          </ranges>
        </level>
      </levels>
      <selections count="1">
        <selection n="[InventoryData].[Categor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 xr10:uid="{EA343F9F-2221-417E-9E0C-CBAC2D1CB266}" sourceName="[InventoryData].[Supplier]">
  <pivotTables>
    <pivotTable tabId="7" name="PivotTable8"/>
    <pivotTable tabId="7" name="PivotTable1"/>
    <pivotTable tabId="7" name="PivotTable2"/>
    <pivotTable tabId="7" name="PivotTable3"/>
    <pivotTable tabId="7" name="PivotTable4"/>
    <pivotTable tabId="7" name="PivotTable5"/>
    <pivotTable tabId="7" name="PivotTable7"/>
    <pivotTable tabId="7" name="PivotTable10"/>
    <pivotTable tabId="7" name="PivotTable11"/>
    <pivotTable tabId="7" name="PivotTable12"/>
    <pivotTable tabId="7" name="PivotTable13"/>
    <pivotTable tabId="7" name="PivotTable14"/>
    <pivotTable tabId="7" name="PivotTable15"/>
    <pivotTable tabId="7" name="PivotTable16"/>
    <pivotTable tabId="7" name="PivotTable17"/>
    <pivotTable tabId="7" name="PivotTable18"/>
    <pivotTable tabId="7" name="PivotTable19"/>
    <pivotTable tabId="7" name="PivotTable6"/>
    <pivotTable tabId="7" name="PivotTable9"/>
  </pivotTables>
  <data>
    <olap pivotCacheId="1219786375">
      <levels count="2">
        <level uniqueName="[InventoryData].[Supplier].[(All)]" sourceCaption="(All)" count="0"/>
        <level uniqueName="[InventoryData].[Supplier].[Supplier]" sourceCaption="Supplier" count="3">
          <ranges>
            <range startItem="0">
              <i n="[InventoryData].[Supplier].&amp;[Supplier X]" c="Supplier X"/>
              <i n="[InventoryData].[Supplier].&amp;[Supplier Y]" c="Supplier Y"/>
              <i n="[InventoryData].[Supplier].&amp;[Supplier Z]" c="Supplier Z"/>
            </range>
          </ranges>
        </level>
      </levels>
      <selections count="1">
        <selection n="[InventoryData].[Suppli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arehouse_Location" xr10:uid="{04594D74-5DEF-4CB5-925C-D3376205C43F}" sourceName="[InventoryData].[Warehouse Location]">
  <pivotTables>
    <pivotTable tabId="7" name="PivotTable10"/>
    <pivotTable tabId="7" name="PivotTable11"/>
    <pivotTable tabId="7" name="PivotTable9"/>
    <pivotTable tabId="7" name="PivotTable1"/>
    <pivotTable tabId="7" name="PivotTable12"/>
    <pivotTable tabId="7" name="PivotTable13"/>
    <pivotTable tabId="7" name="PivotTable14"/>
    <pivotTable tabId="7" name="PivotTable15"/>
    <pivotTable tabId="7" name="PivotTable16"/>
    <pivotTable tabId="7" name="PivotTable17"/>
    <pivotTable tabId="7" name="PivotTable18"/>
    <pivotTable tabId="7" name="PivotTable19"/>
    <pivotTable tabId="7" name="PivotTable2"/>
    <pivotTable tabId="7" name="PivotTable3"/>
    <pivotTable tabId="7" name="PivotTable4"/>
    <pivotTable tabId="7" name="PivotTable5"/>
    <pivotTable tabId="7" name="PivotTable6"/>
    <pivotTable tabId="7" name="PivotTable7"/>
    <pivotTable tabId="7" name="PivotTable8"/>
  </pivotTables>
  <data>
    <olap pivotCacheId="1219786375">
      <levels count="2">
        <level uniqueName="[InventoryData].[Warehouse Location].[(All)]" sourceCaption="(All)" count="0"/>
        <level uniqueName="[InventoryData].[Warehouse Location].[Warehouse Location]" sourceCaption="Warehouse Location" count="3">
          <ranges>
            <range startItem="0">
              <i n="[InventoryData].[Warehouse Location].&amp;[Warehouse A]" c="Warehouse A"/>
              <i n="[InventoryData].[Warehouse Location].&amp;[Warehouse B]" c="Warehouse B"/>
              <i n="[InventoryData].[Warehouse Location].&amp;[Warehouse C]" c="Warehouse C"/>
            </range>
          </ranges>
        </level>
      </levels>
      <selections count="1">
        <selection n="[InventoryData].[Warehouse Location].[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ck_Status" xr10:uid="{86AC5F88-70ED-4F2C-9FE9-5732B4F937EF}" sourceName="[InventoryData].[Stock Status]">
  <pivotTables>
    <pivotTable tabId="7" name="PivotTable8"/>
    <pivotTable tabId="7" name="PivotTable1"/>
    <pivotTable tabId="7" name="PivotTable2"/>
    <pivotTable tabId="7" name="PivotTable3"/>
    <pivotTable tabId="7" name="PivotTable4"/>
    <pivotTable tabId="7" name="PivotTable7"/>
    <pivotTable tabId="7" name="PivotTable10"/>
    <pivotTable tabId="7" name="PivotTable11"/>
    <pivotTable tabId="7" name="PivotTable12"/>
    <pivotTable tabId="7" name="PivotTable13"/>
    <pivotTable tabId="7" name="PivotTable14"/>
    <pivotTable tabId="7" name="PivotTable15"/>
    <pivotTable tabId="7" name="PivotTable16"/>
    <pivotTable tabId="7" name="PivotTable17"/>
    <pivotTable tabId="7" name="PivotTable18"/>
    <pivotTable tabId="7" name="PivotTable19"/>
    <pivotTable tabId="7" name="PivotTable5"/>
    <pivotTable tabId="7" name="PivotTable6"/>
    <pivotTable tabId="7" name="PivotTable9"/>
  </pivotTables>
  <data>
    <olap pivotCacheId="1219786375">
      <levels count="2">
        <level uniqueName="[InventoryData].[Stock Status].[(All)]" sourceCaption="(All)" count="0"/>
        <level uniqueName="[InventoryData].[Stock Status].[Stock Status]" sourceCaption="Stock Status" count="2">
          <ranges>
            <range startItem="0">
              <i n="[InventoryData].[Stock Status].&amp;[Below Reorder]" c="Below Reorder"/>
              <i n="[InventoryData].[Stock Status].&amp;[Sufficient]" c="Sufficient"/>
            </range>
          </ranges>
        </level>
      </levels>
      <selections count="1">
        <selection n="[InventoryData].[Stock Status].[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Name" xr10:uid="{35263CA5-56BB-4977-AF2C-AB9868A7E29F}" sourceName="[InventoryData].[Item Name]">
  <pivotTables>
    <pivotTable tabId="7" name="PivotTable8"/>
    <pivotTable tabId="7" name="PivotTable1"/>
    <pivotTable tabId="7" name="PivotTable2"/>
    <pivotTable tabId="7" name="PivotTable3"/>
    <pivotTable tabId="7" name="PivotTable4"/>
    <pivotTable tabId="7" name="PivotTable5"/>
    <pivotTable tabId="7" name="PivotTable7"/>
    <pivotTable tabId="7" name="PivotTable10"/>
    <pivotTable tabId="7" name="PivotTable11"/>
    <pivotTable tabId="7" name="PivotTable12"/>
    <pivotTable tabId="7" name="PivotTable13"/>
    <pivotTable tabId="7" name="PivotTable14"/>
    <pivotTable tabId="7" name="PivotTable15"/>
    <pivotTable tabId="7" name="PivotTable16"/>
    <pivotTable tabId="7" name="PivotTable17"/>
    <pivotTable tabId="7" name="PivotTable18"/>
    <pivotTable tabId="7" name="PivotTable19"/>
    <pivotTable tabId="7" name="PivotTable6"/>
    <pivotTable tabId="7" name="PivotTable9"/>
  </pivotTables>
  <data>
    <olap pivotCacheId="1219786375">
      <levels count="2">
        <level uniqueName="[InventoryData].[Item Name].[(All)]" sourceCaption="(All)" count="0"/>
        <level uniqueName="[InventoryData].[Item Name].[Item Name]" sourceCaption="Item Name" count="100">
          <ranges>
            <range startItem="0">
              <i n="[InventoryData].[Item Name].&amp;[Electronics Item 1]" c="Electronics Item 1"/>
              <i n="[InventoryData].[Item Name].&amp;[Electronics Item 10]" c="Electronics Item 10"/>
              <i n="[InventoryData].[Item Name].&amp;[Electronics Item 100]" c="Electronics Item 100"/>
              <i n="[InventoryData].[Item Name].&amp;[Electronics Item 11]" c="Electronics Item 11"/>
              <i n="[InventoryData].[Item Name].&amp;[Electronics Item 12]" c="Electronics Item 12"/>
              <i n="[InventoryData].[Item Name].&amp;[Electronics Item 13]" c="Electronics Item 13"/>
              <i n="[InventoryData].[Item Name].&amp;[Electronics Item 14]" c="Electronics Item 14"/>
              <i n="[InventoryData].[Item Name].&amp;[Electronics Item 15]" c="Electronics Item 15"/>
              <i n="[InventoryData].[Item Name].&amp;[Electronics Item 16]" c="Electronics Item 16"/>
              <i n="[InventoryData].[Item Name].&amp;[Electronics Item 17]" c="Electronics Item 17"/>
              <i n="[InventoryData].[Item Name].&amp;[Electronics Item 18]" c="Electronics Item 18"/>
              <i n="[InventoryData].[Item Name].&amp;[Electronics Item 19]" c="Electronics Item 19"/>
              <i n="[InventoryData].[Item Name].&amp;[Electronics Item 2]" c="Electronics Item 2"/>
              <i n="[InventoryData].[Item Name].&amp;[Electronics Item 20]" c="Electronics Item 20"/>
              <i n="[InventoryData].[Item Name].&amp;[Electronics Item 21]" c="Electronics Item 21"/>
              <i n="[InventoryData].[Item Name].&amp;[Electronics Item 22]" c="Electronics Item 22"/>
              <i n="[InventoryData].[Item Name].&amp;[Electronics Item 23]" c="Electronics Item 23"/>
              <i n="[InventoryData].[Item Name].&amp;[Electronics Item 24]" c="Electronics Item 24"/>
              <i n="[InventoryData].[Item Name].&amp;[Electronics Item 25]" c="Electronics Item 25"/>
              <i n="[InventoryData].[Item Name].&amp;[Electronics Item 26]" c="Electronics Item 26"/>
              <i n="[InventoryData].[Item Name].&amp;[Electronics Item 27]" c="Electronics Item 27"/>
              <i n="[InventoryData].[Item Name].&amp;[Electronics Item 28]" c="Electronics Item 28"/>
              <i n="[InventoryData].[Item Name].&amp;[Electronics Item 29]" c="Electronics Item 29"/>
              <i n="[InventoryData].[Item Name].&amp;[Electronics Item 3]" c="Electronics Item 3"/>
              <i n="[InventoryData].[Item Name].&amp;[Electronics Item 30]" c="Electronics Item 30"/>
              <i n="[InventoryData].[Item Name].&amp;[Electronics Item 31]" c="Electronics Item 31"/>
              <i n="[InventoryData].[Item Name].&amp;[Electronics Item 32]" c="Electronics Item 32"/>
              <i n="[InventoryData].[Item Name].&amp;[Electronics Item 33]" c="Electronics Item 33"/>
              <i n="[InventoryData].[Item Name].&amp;[Electronics Item 34]" c="Electronics Item 34"/>
              <i n="[InventoryData].[Item Name].&amp;[Electronics Item 35]" c="Electronics Item 35"/>
              <i n="[InventoryData].[Item Name].&amp;[Electronics Item 36]" c="Electronics Item 36"/>
              <i n="[InventoryData].[Item Name].&amp;[Electronics Item 37]" c="Electronics Item 37"/>
              <i n="[InventoryData].[Item Name].&amp;[Electronics Item 38]" c="Electronics Item 38"/>
              <i n="[InventoryData].[Item Name].&amp;[Electronics Item 39]" c="Electronics Item 39"/>
              <i n="[InventoryData].[Item Name].&amp;[Electronics Item 4]" c="Electronics Item 4"/>
              <i n="[InventoryData].[Item Name].&amp;[Electronics Item 40]" c="Electronics Item 40"/>
              <i n="[InventoryData].[Item Name].&amp;[Electronics Item 41]" c="Electronics Item 41"/>
              <i n="[InventoryData].[Item Name].&amp;[Electronics Item 42]" c="Electronics Item 42"/>
              <i n="[InventoryData].[Item Name].&amp;[Electronics Item 43]" c="Electronics Item 43"/>
              <i n="[InventoryData].[Item Name].&amp;[Electronics Item 44]" c="Electronics Item 44"/>
              <i n="[InventoryData].[Item Name].&amp;[Electronics Item 45]" c="Electronics Item 45"/>
              <i n="[InventoryData].[Item Name].&amp;[Electronics Item 46]" c="Electronics Item 46"/>
              <i n="[InventoryData].[Item Name].&amp;[Electronics Item 47]" c="Electronics Item 47"/>
              <i n="[InventoryData].[Item Name].&amp;[Electronics Item 48]" c="Electronics Item 48"/>
              <i n="[InventoryData].[Item Name].&amp;[Electronics Item 49]" c="Electronics Item 49"/>
              <i n="[InventoryData].[Item Name].&amp;[Electronics Item 5]" c="Electronics Item 5"/>
              <i n="[InventoryData].[Item Name].&amp;[Electronics Item 50]" c="Electronics Item 50"/>
              <i n="[InventoryData].[Item Name].&amp;[Electronics Item 51]" c="Electronics Item 51"/>
              <i n="[InventoryData].[Item Name].&amp;[Electronics Item 52]" c="Electronics Item 52"/>
              <i n="[InventoryData].[Item Name].&amp;[Electronics Item 53]" c="Electronics Item 53"/>
              <i n="[InventoryData].[Item Name].&amp;[Electronics Item 54]" c="Electronics Item 54"/>
              <i n="[InventoryData].[Item Name].&amp;[Electronics Item 55]" c="Electronics Item 55"/>
              <i n="[InventoryData].[Item Name].&amp;[Electronics Item 56]" c="Electronics Item 56"/>
              <i n="[InventoryData].[Item Name].&amp;[Electronics Item 57]" c="Electronics Item 57"/>
              <i n="[InventoryData].[Item Name].&amp;[Electronics Item 58]" c="Electronics Item 58"/>
              <i n="[InventoryData].[Item Name].&amp;[Electronics Item 59]" c="Electronics Item 59"/>
              <i n="[InventoryData].[Item Name].&amp;[Electronics Item 6]" c="Electronics Item 6"/>
              <i n="[InventoryData].[Item Name].&amp;[Electronics Item 60]" c="Electronics Item 60"/>
              <i n="[InventoryData].[Item Name].&amp;[Electronics Item 61]" c="Electronics Item 61"/>
              <i n="[InventoryData].[Item Name].&amp;[Electronics Item 62]" c="Electronics Item 62"/>
              <i n="[InventoryData].[Item Name].&amp;[Electronics Item 63]" c="Electronics Item 63"/>
              <i n="[InventoryData].[Item Name].&amp;[Electronics Item 64]" c="Electronics Item 64"/>
              <i n="[InventoryData].[Item Name].&amp;[Electronics Item 65]" c="Electronics Item 65"/>
              <i n="[InventoryData].[Item Name].&amp;[Electronics Item 66]" c="Electronics Item 66"/>
              <i n="[InventoryData].[Item Name].&amp;[Electronics Item 67]" c="Electronics Item 67"/>
              <i n="[InventoryData].[Item Name].&amp;[Electronics Item 68]" c="Electronics Item 68"/>
              <i n="[InventoryData].[Item Name].&amp;[Electronics Item 69]" c="Electronics Item 69"/>
              <i n="[InventoryData].[Item Name].&amp;[Electronics Item 7]" c="Electronics Item 7"/>
              <i n="[InventoryData].[Item Name].&amp;[Electronics Item 70]" c="Electronics Item 70"/>
              <i n="[InventoryData].[Item Name].&amp;[Electronics Item 71]" c="Electronics Item 71"/>
              <i n="[InventoryData].[Item Name].&amp;[Electronics Item 72]" c="Electronics Item 72"/>
              <i n="[InventoryData].[Item Name].&amp;[Electronics Item 73]" c="Electronics Item 73"/>
              <i n="[InventoryData].[Item Name].&amp;[Electronics Item 74]" c="Electronics Item 74"/>
              <i n="[InventoryData].[Item Name].&amp;[Electronics Item 75]" c="Electronics Item 75"/>
              <i n="[InventoryData].[Item Name].&amp;[Electronics Item 76]" c="Electronics Item 76"/>
              <i n="[InventoryData].[Item Name].&amp;[Electronics Item 77]" c="Electronics Item 77"/>
              <i n="[InventoryData].[Item Name].&amp;[Electronics Item 78]" c="Electronics Item 78"/>
              <i n="[InventoryData].[Item Name].&amp;[Electronics Item 79]" c="Electronics Item 79"/>
              <i n="[InventoryData].[Item Name].&amp;[Electronics Item 8]" c="Electronics Item 8"/>
              <i n="[InventoryData].[Item Name].&amp;[Electronics Item 80]" c="Electronics Item 80"/>
              <i n="[InventoryData].[Item Name].&amp;[Electronics Item 81]" c="Electronics Item 81"/>
              <i n="[InventoryData].[Item Name].&amp;[Electronics Item 82]" c="Electronics Item 82"/>
              <i n="[InventoryData].[Item Name].&amp;[Electronics Item 83]" c="Electronics Item 83"/>
              <i n="[InventoryData].[Item Name].&amp;[Electronics Item 84]" c="Electronics Item 84"/>
              <i n="[InventoryData].[Item Name].&amp;[Electronics Item 85]" c="Electronics Item 85"/>
              <i n="[InventoryData].[Item Name].&amp;[Electronics Item 86]" c="Electronics Item 86"/>
              <i n="[InventoryData].[Item Name].&amp;[Electronics Item 87]" c="Electronics Item 87"/>
              <i n="[InventoryData].[Item Name].&amp;[Electronics Item 88]" c="Electronics Item 88"/>
              <i n="[InventoryData].[Item Name].&amp;[Electronics Item 89]" c="Electronics Item 89"/>
              <i n="[InventoryData].[Item Name].&amp;[Electronics Item 9]" c="Electronics Item 9"/>
              <i n="[InventoryData].[Item Name].&amp;[Electronics Item 90]" c="Electronics Item 90"/>
              <i n="[InventoryData].[Item Name].&amp;[Electronics Item 91]" c="Electronics Item 91"/>
              <i n="[InventoryData].[Item Name].&amp;[Electronics Item 92]" c="Electronics Item 92"/>
              <i n="[InventoryData].[Item Name].&amp;[Electronics Item 93]" c="Electronics Item 93"/>
              <i n="[InventoryData].[Item Name].&amp;[Electronics Item 94]" c="Electronics Item 94"/>
              <i n="[InventoryData].[Item Name].&amp;[Electronics Item 95]" c="Electronics Item 95"/>
              <i n="[InventoryData].[Item Name].&amp;[Electronics Item 96]" c="Electronics Item 96"/>
              <i n="[InventoryData].[Item Name].&amp;[Electronics Item 97]" c="Electronics Item 97"/>
              <i n="[InventoryData].[Item Name].&amp;[Electronics Item 98]" c="Electronics Item 98"/>
              <i n="[InventoryData].[Item Name].&amp;[Electronics Item 99]" c="Electronics Item 99"/>
            </range>
          </ranges>
        </level>
      </levels>
      <selections count="1">
        <selection n="[InventoryData].[Item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E47CAB94-DDDF-49F6-AAA8-437A6D435A54}" cache="Slicer_Category" caption="Category" level="1" rowHeight="222250"/>
  <slicer name="Supplier" xr10:uid="{A925BD97-BE4C-4770-BE97-5F0D1F665AC9}" cache="Slicer_Supplier" caption="Supplier" level="1" rowHeight="222250"/>
  <slicer name="Warehouse Location" xr10:uid="{D808EC33-8AE6-4730-8AFC-7ECB00DC87B2}" cache="Slicer_Warehouse_Location" caption="Warehouse Location" level="1" rowHeight="222250"/>
  <slicer name="Stock Status" xr10:uid="{5BD0D13E-08DB-4589-9ACF-A7A8A3EFEC43}" cache="Slicer_Stock_Status" caption="Stock Status" level="1" rowHeight="222250"/>
  <slicer name="Item Name" xr10:uid="{3D3ED6A7-A577-48D3-A349-C9C4D145F8E7}" cache="Slicer_Item_Name" caption="Item Name" level="1" rowHeight="2222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3" xr10:uid="{63D37574-8EC5-455E-B58F-26DC132CA716}" cache="Slicer_Category" caption="Category" level="1" rowHeight="222250"/>
  <slicer name="Category 4" xr10:uid="{E05A102B-6F08-4DCA-B6DD-A1B413FDD609}" cache="Slicer_Category" caption="Category" level="1" rowHeight="222250"/>
  <slicer name="Category 6" xr10:uid="{3996EFC7-B73E-430A-8A82-62F8D74A035F}" cache="Slicer_Category" caption="Category" level="1" rowHeight="222250"/>
  <slicer name="Category 7" xr10:uid="{4C2B5155-EEC1-4178-BD12-AF678A53FFD7}" cache="Slicer_Category" caption="Category" level="1" rowHeight="222250"/>
  <slicer name="Category 8" xr10:uid="{359C8E76-C1AA-436E-872C-467F4D0583A7}" cache="Slicer_Category" caption="Category" level="1" rowHeight="222250"/>
  <slicer name="Supplier 1" xr10:uid="{A6CA1017-1BBD-4075-A934-35D63849DA91}" cache="Slicer_Supplier" caption="Supplier" level="1" rowHeight="222250"/>
  <slicer name="Supplier 2" xr10:uid="{48E40D77-0185-4844-BF00-957AF67580CF}" cache="Slicer_Supplier" caption="Supplier" level="1" rowHeight="222250"/>
  <slicer name="Supplier 4" xr10:uid="{560351AC-FEEF-4187-ABA0-4A8B99A6B15B}" cache="Slicer_Supplier" caption="Supplier" level="1" rowHeight="222250"/>
  <slicer name="Supplier 5" xr10:uid="{87D6537B-EF13-4510-ADE3-887E9BF16457}" cache="Slicer_Supplier" caption="Supplier" level="1" rowHeight="222250"/>
  <slicer name="Supplier 6" xr10:uid="{17109C06-28E1-44DD-BFAB-A88EA18B665B}" cache="Slicer_Supplier" caption="Supplier" level="1" rowHeight="222250"/>
  <slicer name="Warehouse Location 1" xr10:uid="{4E7CAD8D-3925-4F7D-B0DC-BC6C5CD06D96}" cache="Slicer_Warehouse_Location" caption="Warehouse Location" level="1" rowHeight="222250"/>
  <slicer name="Warehouse Location 2" xr10:uid="{F94AD9AC-A384-4316-BF3D-3D6CF653645B}" cache="Slicer_Warehouse_Location" caption="Warehouse Location" level="1" rowHeight="222250"/>
  <slicer name="Warehouse Location 4" xr10:uid="{9AFAE537-642B-4F7B-A437-8CAA77F16378}" cache="Slicer_Warehouse_Location" caption="Warehouse Location" level="1" rowHeight="222250"/>
  <slicer name="Warehouse Location 5" xr10:uid="{F46391B6-C9A5-4FCB-8781-52261651E08A}" cache="Slicer_Warehouse_Location" caption="Warehouse Location" level="1" rowHeight="222250"/>
  <slicer name="Warehouse Location 6" xr10:uid="{EC0EFE15-3EA8-4514-884C-7D4689A619C9}" cache="Slicer_Warehouse_Location" caption="Warehouse Location" level="1" rowHeight="222250"/>
  <slicer name="Stock Status 1" xr10:uid="{A6DC8D10-3AF4-4C2E-80CF-46610D21A5FC}" cache="Slicer_Stock_Status" caption="Stock Status" level="1" rowHeight="222250"/>
  <slicer name="Stock Status 2" xr10:uid="{4236419F-C389-49B9-BFAB-0767539B3EEC}" cache="Slicer_Stock_Status" caption="Stock Status" level="1" rowHeight="222250"/>
  <slicer name="Stock Status 4" xr10:uid="{37F0DDE8-9FBE-4620-82B2-A0D9D5F783C1}" cache="Slicer_Stock_Status" caption="Stock Status" level="1" rowHeight="222250"/>
  <slicer name="Stock Status 5" xr10:uid="{75322ABE-109D-4DB8-AD3D-D77EE0F476BC}" cache="Slicer_Stock_Status" caption="Stock Status" level="1" rowHeight="222250"/>
  <slicer name="Stock Status 6" xr10:uid="{9AEC4A82-50A7-4D37-BAEC-D931FE04D410}" cache="Slicer_Stock_Status" caption="Stock Status" level="1" rowHeight="222250"/>
  <slicer name="Item Name 1" xr10:uid="{498E2D7D-9C3A-4521-B4DF-EE77D0B40F70}" cache="Slicer_Item_Name" caption="Item Name" startItem="88" level="1" rowHeight="222250"/>
  <slicer name="Item Name 2" xr10:uid="{F687B36C-4DF7-4FCC-912C-741C3EBF9B11}" cache="Slicer_Item_Name" caption="Item Name" startItem="88" level="1" rowHeight="222250"/>
  <slicer name="Item Name 4" xr10:uid="{AAFCB9E5-6B93-4DBF-A72E-8C3C918D4FD0}" cache="Slicer_Item_Name" caption="Item Name" startItem="88" level="1" rowHeight="222250"/>
  <slicer name="Item Name 5" xr10:uid="{B4B0537A-19C3-485E-98E4-19E39DC783A4}" cache="Slicer_Item_Name" caption="Item Name" startItem="88" level="1" rowHeight="222250"/>
  <slicer name="Item Name 6" xr10:uid="{96FD3587-960F-425A-B28F-43F48744B7BD}" cache="Slicer_Item_Name" caption="Item Name" startItem="88" level="1" rowHeight="2222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06EBED-2749-4AD4-99AC-F319D95E8607}" name="InventoryData" displayName="InventoryData" ref="A1:N101" tableType="queryTable" totalsRowShown="0">
  <autoFilter ref="A1:N101" xr:uid="{AA06EBED-2749-4AD4-99AC-F319D95E8607}"/>
  <sortState xmlns:xlrd2="http://schemas.microsoft.com/office/spreadsheetml/2017/richdata2" ref="A2:M101">
    <sortCondition ref="I1:I101"/>
  </sortState>
  <tableColumns count="14">
    <tableColumn id="1" xr3:uid="{BC84BD28-EA0D-4368-9920-D5EEB571A85A}" uniqueName="1" name="Item ID" queryTableFieldId="1" dataDxfId="11"/>
    <tableColumn id="2" xr3:uid="{A9BA11B7-1328-4A5D-8270-5CACDCEDF231}" uniqueName="2" name="Item Name" queryTableFieldId="2" dataDxfId="10"/>
    <tableColumn id="3" xr3:uid="{1B049E1A-5543-47F7-8565-CA889CD32BAB}" uniqueName="3" name="Category" queryTableFieldId="3" dataDxfId="9"/>
    <tableColumn id="4" xr3:uid="{C4474F71-9C7C-4B07-AC70-E4F09F1D9792}" uniqueName="4" name="Stock Quantity" queryTableFieldId="4"/>
    <tableColumn id="5" xr3:uid="{5B1602F9-F5FE-43E8-8A4D-5235BC817D1E}" uniqueName="5" name="Reorder Level" queryTableFieldId="5"/>
    <tableColumn id="6" xr3:uid="{D0FE69BA-514D-4BD2-B702-B0F556ED1949}" uniqueName="6" name="Unit Price" queryTableFieldId="6" dataDxfId="8"/>
    <tableColumn id="7" xr3:uid="{03937FE4-1E31-4CBD-B373-F93BED92922D}" uniqueName="7" name="Supplier" queryTableFieldId="7" dataDxfId="7"/>
    <tableColumn id="8" xr3:uid="{D84F14D3-B4C8-48C2-935D-563FD4E44696}" uniqueName="8" name="Last Ordered Date" queryTableFieldId="8" dataDxfId="6"/>
    <tableColumn id="9" xr3:uid="{3AA77A53-91D0-49AB-B0D0-7234D48B3EAD}" uniqueName="9" name="Next Restock Date" queryTableFieldId="9" dataDxfId="5"/>
    <tableColumn id="10" xr3:uid="{1E5A75B2-7E8A-4563-851A-70E2877BEA82}" uniqueName="10" name="Warehouse Location" queryTableFieldId="10" dataDxfId="4"/>
    <tableColumn id="11" xr3:uid="{63D61E34-586A-4356-AC70-D542FE2CBC4F}" uniqueName="11" name="Stock Status" queryTableFieldId="11" dataDxfId="3">
      <calculatedColumnFormula>IF(InventoryData[[#This Row],[Stock Quantity]] &lt; InventoryData[[#This Row],[Reorder Level]], "Below Reorder", "Sufficient")</calculatedColumnFormula>
    </tableColumn>
    <tableColumn id="12" xr3:uid="{5469CCDF-62DA-47D6-B82B-455EA3DCC788}" uniqueName="12" name="Stock Value" queryTableFieldId="12" dataDxfId="2">
      <calculatedColumnFormula>InventoryData[[#This Row],[Stock Quantity]] * InventoryData[[#This Row],[Unit Price]]</calculatedColumnFormula>
    </tableColumn>
    <tableColumn id="13" xr3:uid="{B5AB62D6-9953-4F20-AE77-A2C63B22425F}" uniqueName="13" name="Month of Last Order" queryTableFieldId="13" dataDxfId="1">
      <calculatedColumnFormula>TEXT(InventoryData[[#This Row],[Last Ordered Date]],"mmm-yyyy")</calculatedColumnFormula>
    </tableColumn>
    <tableColumn id="14" xr3:uid="{3AF846E3-623B-45F7-9028-4292B4590260}" uniqueName="14" name="Total Value" queryTableFieldId="15" dataDxfId="0">
      <calculatedColumnFormula>InventoryData[[#This Row],[Unit Price]]*InventoryData[[#This Row],[Stock Quantity]]</calculatedColumnFormula>
    </tableColumn>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Integral">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B9F25"/>
      </a:hlink>
      <a:folHlink>
        <a:srgbClr val="B26B02"/>
      </a:folHlink>
    </a:clrScheme>
    <a:fontScheme name="Integral">
      <a:majorFont>
        <a:latin typeface="Tw Cen MT Condensed" panose="020B06060201040202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w Cen MT" panose="020B0602020104020603"/>
        <a:ea typeface=""/>
        <a:cs typeface=""/>
        <a:font script="Grek" typeface="Calibri"/>
        <a:font script="Cyrl" typeface="Calibri"/>
        <a:font script="Jpan" typeface="メイリオ"/>
        <a:font script="Hang" typeface="HY얕은샘물M"/>
        <a:font script="Hans" typeface="华文仿宋"/>
        <a:font script="Hant" typeface="微軟正黑體"/>
        <a:font script="Arab" typeface="Arial"/>
        <a:font script="Hebr" typeface="Levenim MT"/>
        <a:font script="Thai" typeface="Frees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18" Type="http://schemas.openxmlformats.org/officeDocument/2006/relationships/pivotTable" Target="../pivotTables/pivotTable18.xml"/><Relationship Id="rId3" Type="http://schemas.openxmlformats.org/officeDocument/2006/relationships/pivotTable" Target="../pivotTables/pivotTable3.xml"/><Relationship Id="rId21" Type="http://schemas.microsoft.com/office/2007/relationships/slicer" Target="../slicers/slicer1.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ivotTable" Target="../pivotTables/pivotTable17.xml"/><Relationship Id="rId2" Type="http://schemas.openxmlformats.org/officeDocument/2006/relationships/pivotTable" Target="../pivotTables/pivotTable2.xml"/><Relationship Id="rId16" Type="http://schemas.openxmlformats.org/officeDocument/2006/relationships/pivotTable" Target="../pivotTables/pivotTable16.xml"/><Relationship Id="rId20" Type="http://schemas.openxmlformats.org/officeDocument/2006/relationships/drawing" Target="../drawings/drawing1.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19" Type="http://schemas.openxmlformats.org/officeDocument/2006/relationships/pivotTable" Target="../pivotTables/pivotTable19.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52C5A-001A-4E71-8CD7-B6BF99AF5B28}">
  <sheetPr codeName="Sheet1"/>
  <dimension ref="A1:P177"/>
  <sheetViews>
    <sheetView workbookViewId="0">
      <selection activeCell="T4" sqref="T4"/>
    </sheetView>
  </sheetViews>
  <sheetFormatPr defaultRowHeight="13.8" x14ac:dyDescent="0.25"/>
  <cols>
    <col min="1" max="1" width="9.296875" customWidth="1"/>
    <col min="2" max="2" width="17.69921875" customWidth="1"/>
    <col min="3" max="3" width="10.69921875" customWidth="1"/>
    <col min="4" max="4" width="15.69921875" customWidth="1"/>
    <col min="5" max="5" width="14.59765625" customWidth="1"/>
    <col min="6" max="6" width="11.296875" customWidth="1"/>
    <col min="7" max="7" width="10" customWidth="1"/>
    <col min="8" max="8" width="18.296875" customWidth="1"/>
    <col min="9" max="9" width="18.5" style="3" customWidth="1"/>
    <col min="10" max="10" width="20.59765625" customWidth="1"/>
    <col min="11" max="11" width="13.5" customWidth="1"/>
    <col min="12" max="12" width="13" customWidth="1"/>
    <col min="13" max="13" width="20.3984375" customWidth="1"/>
    <col min="14" max="14" width="12.59765625" customWidth="1"/>
    <col min="17" max="17" width="13.09765625" customWidth="1"/>
    <col min="18" max="18" width="8"/>
    <col min="19" max="19" width="11.8984375" bestFit="1" customWidth="1"/>
  </cols>
  <sheetData>
    <row r="1" spans="1:14" x14ac:dyDescent="0.25">
      <c r="A1" t="s">
        <v>0</v>
      </c>
      <c r="B1" t="s">
        <v>1</v>
      </c>
      <c r="C1" t="s">
        <v>2</v>
      </c>
      <c r="D1" t="s">
        <v>3</v>
      </c>
      <c r="E1" t="s">
        <v>4</v>
      </c>
      <c r="F1" s="6" t="s">
        <v>5</v>
      </c>
      <c r="G1" t="s">
        <v>6</v>
      </c>
      <c r="H1" s="3" t="s">
        <v>7</v>
      </c>
      <c r="I1" s="3" t="s">
        <v>8</v>
      </c>
      <c r="J1" t="s">
        <v>9</v>
      </c>
      <c r="K1" t="s">
        <v>219</v>
      </c>
      <c r="L1" s="7" t="s">
        <v>220</v>
      </c>
      <c r="M1" t="s">
        <v>221</v>
      </c>
      <c r="N1" t="s">
        <v>227</v>
      </c>
    </row>
    <row r="2" spans="1:14" x14ac:dyDescent="0.25">
      <c r="A2" t="s">
        <v>10</v>
      </c>
      <c r="B2" t="s">
        <v>11</v>
      </c>
      <c r="C2" t="s">
        <v>12</v>
      </c>
      <c r="D2">
        <v>145</v>
      </c>
      <c r="E2">
        <v>170</v>
      </c>
      <c r="F2" s="7">
        <v>373.36</v>
      </c>
      <c r="G2" t="s">
        <v>13</v>
      </c>
      <c r="H2" s="3">
        <v>44927</v>
      </c>
      <c r="I2" s="3">
        <v>45108</v>
      </c>
      <c r="J2" t="s">
        <v>14</v>
      </c>
      <c r="K2" t="str">
        <f>IF(InventoryData[[#This Row],[Stock Quantity]] &lt; InventoryData[[#This Row],[Reorder Level]], "Below Reorder", "Sufficient")</f>
        <v>Below Reorder</v>
      </c>
      <c r="L2" s="7">
        <f>InventoryData[[#This Row],[Stock Quantity]] * InventoryData[[#This Row],[Unit Price]]</f>
        <v>54137.200000000004</v>
      </c>
      <c r="M2" t="str">
        <f>TEXT(InventoryData[[#This Row],[Last Ordered Date]],"mmm-yyyy")</f>
        <v>Jan-2023</v>
      </c>
      <c r="N2" s="5">
        <f>InventoryData[[#This Row],[Unit Price]]*InventoryData[[#This Row],[Stock Quantity]]</f>
        <v>54137.200000000004</v>
      </c>
    </row>
    <row r="3" spans="1:14" x14ac:dyDescent="0.25">
      <c r="A3" t="s">
        <v>15</v>
      </c>
      <c r="B3" t="s">
        <v>16</v>
      </c>
      <c r="C3" t="s">
        <v>17</v>
      </c>
      <c r="D3">
        <v>481</v>
      </c>
      <c r="E3">
        <v>165</v>
      </c>
      <c r="F3" s="7">
        <v>361.87</v>
      </c>
      <c r="G3" t="s">
        <v>18</v>
      </c>
      <c r="H3" s="3">
        <v>44934</v>
      </c>
      <c r="I3" s="3">
        <v>45115</v>
      </c>
      <c r="J3" t="s">
        <v>19</v>
      </c>
      <c r="K3" t="str">
        <f>IF(InventoryData[[#This Row],[Stock Quantity]] &lt; InventoryData[[#This Row],[Reorder Level]], "Below Reorder", "Sufficient")</f>
        <v>Sufficient</v>
      </c>
      <c r="L3" s="7">
        <f>InventoryData[[#This Row],[Stock Quantity]] * InventoryData[[#This Row],[Unit Price]]</f>
        <v>174059.47</v>
      </c>
      <c r="M3" t="str">
        <f>TEXT(InventoryData[[#This Row],[Last Ordered Date]],"mmm-yyyy")</f>
        <v>Jan-2023</v>
      </c>
      <c r="N3" s="5">
        <f>InventoryData[[#This Row],[Unit Price]]*InventoryData[[#This Row],[Stock Quantity]]</f>
        <v>174059.47</v>
      </c>
    </row>
    <row r="4" spans="1:14" x14ac:dyDescent="0.25">
      <c r="A4" t="s">
        <v>20</v>
      </c>
      <c r="B4" t="s">
        <v>21</v>
      </c>
      <c r="C4" t="s">
        <v>12</v>
      </c>
      <c r="D4">
        <v>72</v>
      </c>
      <c r="E4">
        <v>52</v>
      </c>
      <c r="F4" s="7">
        <v>157.49</v>
      </c>
      <c r="G4" t="s">
        <v>18</v>
      </c>
      <c r="H4" s="3">
        <v>44941</v>
      </c>
      <c r="I4" s="3">
        <v>45122</v>
      </c>
      <c r="J4" t="s">
        <v>19</v>
      </c>
      <c r="K4" t="str">
        <f>IF(InventoryData[[#This Row],[Stock Quantity]] &lt; InventoryData[[#This Row],[Reorder Level]], "Below Reorder", "Sufficient")</f>
        <v>Sufficient</v>
      </c>
      <c r="L4" s="7">
        <f>InventoryData[[#This Row],[Stock Quantity]] * InventoryData[[#This Row],[Unit Price]]</f>
        <v>11339.28</v>
      </c>
      <c r="M4" t="str">
        <f>TEXT(InventoryData[[#This Row],[Last Ordered Date]],"mmm-yyyy")</f>
        <v>Jan-2023</v>
      </c>
      <c r="N4" s="5">
        <f>InventoryData[[#This Row],[Unit Price]]*InventoryData[[#This Row],[Stock Quantity]]</f>
        <v>11339.28</v>
      </c>
    </row>
    <row r="5" spans="1:14" x14ac:dyDescent="0.25">
      <c r="A5" t="s">
        <v>22</v>
      </c>
      <c r="B5" t="s">
        <v>23</v>
      </c>
      <c r="C5" t="s">
        <v>12</v>
      </c>
      <c r="D5">
        <v>148</v>
      </c>
      <c r="E5">
        <v>152</v>
      </c>
      <c r="F5" s="7">
        <v>273.56</v>
      </c>
      <c r="G5" t="s">
        <v>18</v>
      </c>
      <c r="H5" s="3">
        <v>44948</v>
      </c>
      <c r="I5" s="3">
        <v>45129</v>
      </c>
      <c r="J5" t="s">
        <v>24</v>
      </c>
      <c r="K5" t="str">
        <f>IF(InventoryData[[#This Row],[Stock Quantity]] &lt; InventoryData[[#This Row],[Reorder Level]], "Below Reorder", "Sufficient")</f>
        <v>Below Reorder</v>
      </c>
      <c r="L5" s="7">
        <f>InventoryData[[#This Row],[Stock Quantity]] * InventoryData[[#This Row],[Unit Price]]</f>
        <v>40486.879999999997</v>
      </c>
      <c r="M5" t="str">
        <f>TEXT(InventoryData[[#This Row],[Last Ordered Date]],"mmm-yyyy")</f>
        <v>Jan-2023</v>
      </c>
      <c r="N5" s="5">
        <f>InventoryData[[#This Row],[Unit Price]]*InventoryData[[#This Row],[Stock Quantity]]</f>
        <v>40486.879999999997</v>
      </c>
    </row>
    <row r="6" spans="1:14" x14ac:dyDescent="0.25">
      <c r="A6" t="s">
        <v>25</v>
      </c>
      <c r="B6" t="s">
        <v>26</v>
      </c>
      <c r="C6" t="s">
        <v>17</v>
      </c>
      <c r="D6">
        <v>90</v>
      </c>
      <c r="E6">
        <v>186</v>
      </c>
      <c r="F6" s="7">
        <v>256.86</v>
      </c>
      <c r="G6" t="s">
        <v>27</v>
      </c>
      <c r="H6" s="3">
        <v>44955</v>
      </c>
      <c r="I6" s="3">
        <v>45136</v>
      </c>
      <c r="J6" t="s">
        <v>19</v>
      </c>
      <c r="K6" t="str">
        <f>IF(InventoryData[[#This Row],[Stock Quantity]] &lt; InventoryData[[#This Row],[Reorder Level]], "Below Reorder", "Sufficient")</f>
        <v>Below Reorder</v>
      </c>
      <c r="L6" s="7">
        <f>InventoryData[[#This Row],[Stock Quantity]] * InventoryData[[#This Row],[Unit Price]]</f>
        <v>23117.4</v>
      </c>
      <c r="M6" t="str">
        <f>TEXT(InventoryData[[#This Row],[Last Ordered Date]],"mmm-yyyy")</f>
        <v>Jan-2023</v>
      </c>
      <c r="N6" s="5">
        <f>InventoryData[[#This Row],[Unit Price]]*InventoryData[[#This Row],[Stock Quantity]]</f>
        <v>23117.4</v>
      </c>
    </row>
    <row r="7" spans="1:14" x14ac:dyDescent="0.25">
      <c r="A7" t="s">
        <v>28</v>
      </c>
      <c r="B7" t="s">
        <v>29</v>
      </c>
      <c r="C7" t="s">
        <v>17</v>
      </c>
      <c r="D7">
        <v>401</v>
      </c>
      <c r="E7">
        <v>111</v>
      </c>
      <c r="F7" s="7">
        <v>319.98</v>
      </c>
      <c r="G7" t="s">
        <v>27</v>
      </c>
      <c r="H7" s="3">
        <v>44962</v>
      </c>
      <c r="I7" s="3">
        <v>45143</v>
      </c>
      <c r="J7" t="s">
        <v>24</v>
      </c>
      <c r="K7" t="str">
        <f>IF(InventoryData[[#This Row],[Stock Quantity]] &lt; InventoryData[[#This Row],[Reorder Level]], "Below Reorder", "Sufficient")</f>
        <v>Sufficient</v>
      </c>
      <c r="L7" s="7">
        <f>InventoryData[[#This Row],[Stock Quantity]] * InventoryData[[#This Row],[Unit Price]]</f>
        <v>128311.98000000001</v>
      </c>
      <c r="M7" t="str">
        <f>TEXT(InventoryData[[#This Row],[Last Ordered Date]],"mmm-yyyy")</f>
        <v>Feb-2023</v>
      </c>
      <c r="N7" s="5">
        <f>InventoryData[[#This Row],[Unit Price]]*InventoryData[[#This Row],[Stock Quantity]]</f>
        <v>128311.98000000001</v>
      </c>
    </row>
    <row r="8" spans="1:14" x14ac:dyDescent="0.25">
      <c r="A8" t="s">
        <v>30</v>
      </c>
      <c r="B8" t="s">
        <v>31</v>
      </c>
      <c r="C8" t="s">
        <v>12</v>
      </c>
      <c r="D8">
        <v>172</v>
      </c>
      <c r="E8">
        <v>100</v>
      </c>
      <c r="F8" s="7">
        <v>128.97999999999999</v>
      </c>
      <c r="G8" t="s">
        <v>27</v>
      </c>
      <c r="H8" s="3">
        <v>44969</v>
      </c>
      <c r="I8" s="3">
        <v>45150</v>
      </c>
      <c r="J8" t="s">
        <v>14</v>
      </c>
      <c r="K8" t="str">
        <f>IF(InventoryData[[#This Row],[Stock Quantity]] &lt; InventoryData[[#This Row],[Reorder Level]], "Below Reorder", "Sufficient")</f>
        <v>Sufficient</v>
      </c>
      <c r="L8" s="7">
        <f>InventoryData[[#This Row],[Stock Quantity]] * InventoryData[[#This Row],[Unit Price]]</f>
        <v>22184.559999999998</v>
      </c>
      <c r="M8" t="str">
        <f>TEXT(InventoryData[[#This Row],[Last Ordered Date]],"mmm-yyyy")</f>
        <v>Feb-2023</v>
      </c>
      <c r="N8" s="5">
        <f>InventoryData[[#This Row],[Unit Price]]*InventoryData[[#This Row],[Stock Quantity]]</f>
        <v>22184.559999999998</v>
      </c>
    </row>
    <row r="9" spans="1:14" x14ac:dyDescent="0.25">
      <c r="A9" t="s">
        <v>32</v>
      </c>
      <c r="B9" t="s">
        <v>33</v>
      </c>
      <c r="C9" t="s">
        <v>34</v>
      </c>
      <c r="D9">
        <v>428</v>
      </c>
      <c r="E9">
        <v>108</v>
      </c>
      <c r="F9" s="7">
        <v>296.99</v>
      </c>
      <c r="G9" t="s">
        <v>27</v>
      </c>
      <c r="H9" s="3">
        <v>44976</v>
      </c>
      <c r="I9" s="3">
        <v>45157</v>
      </c>
      <c r="J9" t="s">
        <v>19</v>
      </c>
      <c r="K9" t="str">
        <f>IF(InventoryData[[#This Row],[Stock Quantity]] &lt; InventoryData[[#This Row],[Reorder Level]], "Below Reorder", "Sufficient")</f>
        <v>Sufficient</v>
      </c>
      <c r="L9" s="7">
        <f>InventoryData[[#This Row],[Stock Quantity]] * InventoryData[[#This Row],[Unit Price]]</f>
        <v>127111.72</v>
      </c>
      <c r="M9" t="str">
        <f>TEXT(InventoryData[[#This Row],[Last Ordered Date]],"mmm-yyyy")</f>
        <v>Feb-2023</v>
      </c>
      <c r="N9" s="5">
        <f>InventoryData[[#This Row],[Unit Price]]*InventoryData[[#This Row],[Stock Quantity]]</f>
        <v>127111.72</v>
      </c>
    </row>
    <row r="10" spans="1:14" x14ac:dyDescent="0.25">
      <c r="A10" t="s">
        <v>35</v>
      </c>
      <c r="B10" t="s">
        <v>36</v>
      </c>
      <c r="C10" t="s">
        <v>12</v>
      </c>
      <c r="D10">
        <v>298</v>
      </c>
      <c r="E10">
        <v>167</v>
      </c>
      <c r="F10" s="7">
        <v>489.55</v>
      </c>
      <c r="G10" t="s">
        <v>27</v>
      </c>
      <c r="H10" s="3">
        <v>44983</v>
      </c>
      <c r="I10" s="3">
        <v>45164</v>
      </c>
      <c r="J10" t="s">
        <v>24</v>
      </c>
      <c r="K10" t="str">
        <f>IF(InventoryData[[#This Row],[Stock Quantity]] &lt; InventoryData[[#This Row],[Reorder Level]], "Below Reorder", "Sufficient")</f>
        <v>Sufficient</v>
      </c>
      <c r="L10" s="7">
        <f>InventoryData[[#This Row],[Stock Quantity]] * InventoryData[[#This Row],[Unit Price]]</f>
        <v>145885.9</v>
      </c>
      <c r="M10" t="str">
        <f>TEXT(InventoryData[[#This Row],[Last Ordered Date]],"mmm-yyyy")</f>
        <v>Feb-2023</v>
      </c>
      <c r="N10" s="5">
        <f>InventoryData[[#This Row],[Unit Price]]*InventoryData[[#This Row],[Stock Quantity]]</f>
        <v>145885.9</v>
      </c>
    </row>
    <row r="11" spans="1:14" x14ac:dyDescent="0.25">
      <c r="A11" t="s">
        <v>37</v>
      </c>
      <c r="B11" t="s">
        <v>38</v>
      </c>
      <c r="C11" t="s">
        <v>12</v>
      </c>
      <c r="D11">
        <v>388</v>
      </c>
      <c r="E11">
        <v>145</v>
      </c>
      <c r="F11" s="7">
        <v>245.94</v>
      </c>
      <c r="G11" t="s">
        <v>13</v>
      </c>
      <c r="H11" s="3">
        <v>44990</v>
      </c>
      <c r="I11" s="3">
        <v>45171</v>
      </c>
      <c r="J11" t="s">
        <v>24</v>
      </c>
      <c r="K11" t="str">
        <f>IF(InventoryData[[#This Row],[Stock Quantity]] &lt; InventoryData[[#This Row],[Reorder Level]], "Below Reorder", "Sufficient")</f>
        <v>Sufficient</v>
      </c>
      <c r="L11" s="7">
        <f>InventoryData[[#This Row],[Stock Quantity]] * InventoryData[[#This Row],[Unit Price]]</f>
        <v>95424.72</v>
      </c>
      <c r="M11" t="str">
        <f>TEXT(InventoryData[[#This Row],[Last Ordered Date]],"mmm-yyyy")</f>
        <v>Mar-2023</v>
      </c>
      <c r="N11" s="5">
        <f>InventoryData[[#This Row],[Unit Price]]*InventoryData[[#This Row],[Stock Quantity]]</f>
        <v>95424.72</v>
      </c>
    </row>
    <row r="12" spans="1:14" x14ac:dyDescent="0.25">
      <c r="A12" t="s">
        <v>39</v>
      </c>
      <c r="B12" t="s">
        <v>40</v>
      </c>
      <c r="C12" t="s">
        <v>12</v>
      </c>
      <c r="D12">
        <v>270</v>
      </c>
      <c r="E12">
        <v>162</v>
      </c>
      <c r="F12" s="7">
        <v>453.52</v>
      </c>
      <c r="G12" t="s">
        <v>13</v>
      </c>
      <c r="H12" s="3">
        <v>44997</v>
      </c>
      <c r="I12" s="3">
        <v>45178</v>
      </c>
      <c r="J12" t="s">
        <v>14</v>
      </c>
      <c r="K12" t="str">
        <f>IF(InventoryData[[#This Row],[Stock Quantity]] &lt; InventoryData[[#This Row],[Reorder Level]], "Below Reorder", "Sufficient")</f>
        <v>Sufficient</v>
      </c>
      <c r="L12" s="7">
        <f>InventoryData[[#This Row],[Stock Quantity]] * InventoryData[[#This Row],[Unit Price]]</f>
        <v>122450.4</v>
      </c>
      <c r="M12" t="str">
        <f>TEXT(InventoryData[[#This Row],[Last Ordered Date]],"mmm-yyyy")</f>
        <v>Mar-2023</v>
      </c>
      <c r="N12" s="5">
        <f>InventoryData[[#This Row],[Unit Price]]*InventoryData[[#This Row],[Stock Quantity]]</f>
        <v>122450.4</v>
      </c>
    </row>
    <row r="13" spans="1:14" x14ac:dyDescent="0.25">
      <c r="A13" t="s">
        <v>41</v>
      </c>
      <c r="B13" t="s">
        <v>42</v>
      </c>
      <c r="C13" t="s">
        <v>12</v>
      </c>
      <c r="D13">
        <v>499</v>
      </c>
      <c r="E13">
        <v>111</v>
      </c>
      <c r="F13" s="7">
        <v>220.03</v>
      </c>
      <c r="G13" t="s">
        <v>27</v>
      </c>
      <c r="H13" s="3">
        <v>45004</v>
      </c>
      <c r="I13" s="3">
        <v>45185</v>
      </c>
      <c r="J13" t="s">
        <v>19</v>
      </c>
      <c r="K13" t="str">
        <f>IF(InventoryData[[#This Row],[Stock Quantity]] &lt; InventoryData[[#This Row],[Reorder Level]], "Below Reorder", "Sufficient")</f>
        <v>Sufficient</v>
      </c>
      <c r="L13" s="7">
        <f>InventoryData[[#This Row],[Stock Quantity]] * InventoryData[[#This Row],[Unit Price]]</f>
        <v>109794.97</v>
      </c>
      <c r="M13" t="str">
        <f>TEXT(InventoryData[[#This Row],[Last Ordered Date]],"mmm-yyyy")</f>
        <v>Mar-2023</v>
      </c>
      <c r="N13" s="5">
        <f>InventoryData[[#This Row],[Unit Price]]*InventoryData[[#This Row],[Stock Quantity]]</f>
        <v>109794.97</v>
      </c>
    </row>
    <row r="14" spans="1:14" x14ac:dyDescent="0.25">
      <c r="A14" t="s">
        <v>43</v>
      </c>
      <c r="B14" t="s">
        <v>44</v>
      </c>
      <c r="C14" t="s">
        <v>17</v>
      </c>
      <c r="D14">
        <v>240</v>
      </c>
      <c r="E14">
        <v>101</v>
      </c>
      <c r="F14" s="7">
        <v>178.29</v>
      </c>
      <c r="G14" t="s">
        <v>18</v>
      </c>
      <c r="H14" s="3">
        <v>45011</v>
      </c>
      <c r="I14" s="3">
        <v>45192</v>
      </c>
      <c r="J14" t="s">
        <v>19</v>
      </c>
      <c r="K14" t="str">
        <f>IF(InventoryData[[#This Row],[Stock Quantity]] &lt; InventoryData[[#This Row],[Reorder Level]], "Below Reorder", "Sufficient")</f>
        <v>Sufficient</v>
      </c>
      <c r="L14" s="7">
        <f>InventoryData[[#This Row],[Stock Quantity]] * InventoryData[[#This Row],[Unit Price]]</f>
        <v>42789.599999999999</v>
      </c>
      <c r="M14" t="str">
        <f>TEXT(InventoryData[[#This Row],[Last Ordered Date]],"mmm-yyyy")</f>
        <v>Mar-2023</v>
      </c>
      <c r="N14" s="5">
        <f>InventoryData[[#This Row],[Unit Price]]*InventoryData[[#This Row],[Stock Quantity]]</f>
        <v>42789.599999999999</v>
      </c>
    </row>
    <row r="15" spans="1:14" x14ac:dyDescent="0.25">
      <c r="A15" t="s">
        <v>45</v>
      </c>
      <c r="B15" t="s">
        <v>46</v>
      </c>
      <c r="C15" t="s">
        <v>12</v>
      </c>
      <c r="D15">
        <v>50</v>
      </c>
      <c r="E15">
        <v>61</v>
      </c>
      <c r="F15" s="7">
        <v>324.33</v>
      </c>
      <c r="G15" t="s">
        <v>27</v>
      </c>
      <c r="H15" s="3">
        <v>45018</v>
      </c>
      <c r="I15" s="3">
        <v>45199</v>
      </c>
      <c r="J15" t="s">
        <v>24</v>
      </c>
      <c r="K15" t="str">
        <f>IF(InventoryData[[#This Row],[Stock Quantity]] &lt; InventoryData[[#This Row],[Reorder Level]], "Below Reorder", "Sufficient")</f>
        <v>Below Reorder</v>
      </c>
      <c r="L15" s="7">
        <f>InventoryData[[#This Row],[Stock Quantity]] * InventoryData[[#This Row],[Unit Price]]</f>
        <v>16216.5</v>
      </c>
      <c r="M15" t="str">
        <f>TEXT(InventoryData[[#This Row],[Last Ordered Date]],"mmm-yyyy")</f>
        <v>Apr-2023</v>
      </c>
      <c r="N15" s="5">
        <f>InventoryData[[#This Row],[Unit Price]]*InventoryData[[#This Row],[Stock Quantity]]</f>
        <v>16216.5</v>
      </c>
    </row>
    <row r="16" spans="1:14" x14ac:dyDescent="0.25">
      <c r="A16" t="s">
        <v>47</v>
      </c>
      <c r="B16" t="s">
        <v>48</v>
      </c>
      <c r="C16" t="s">
        <v>34</v>
      </c>
      <c r="D16">
        <v>37</v>
      </c>
      <c r="E16">
        <v>88</v>
      </c>
      <c r="F16" s="7">
        <v>336.12</v>
      </c>
      <c r="G16" t="s">
        <v>13</v>
      </c>
      <c r="H16" s="3">
        <v>45025</v>
      </c>
      <c r="I16" s="3">
        <v>45206</v>
      </c>
      <c r="J16" t="s">
        <v>19</v>
      </c>
      <c r="K16" t="str">
        <f>IF(InventoryData[[#This Row],[Stock Quantity]] &lt; InventoryData[[#This Row],[Reorder Level]], "Below Reorder", "Sufficient")</f>
        <v>Below Reorder</v>
      </c>
      <c r="L16" s="7">
        <f>InventoryData[[#This Row],[Stock Quantity]] * InventoryData[[#This Row],[Unit Price]]</f>
        <v>12436.44</v>
      </c>
      <c r="M16" t="str">
        <f>TEXT(InventoryData[[#This Row],[Last Ordered Date]],"mmm-yyyy")</f>
        <v>Apr-2023</v>
      </c>
      <c r="N16" s="5">
        <f>InventoryData[[#This Row],[Unit Price]]*InventoryData[[#This Row],[Stock Quantity]]</f>
        <v>12436.44</v>
      </c>
    </row>
    <row r="17" spans="1:14" x14ac:dyDescent="0.25">
      <c r="A17" t="s">
        <v>49</v>
      </c>
      <c r="B17" t="s">
        <v>50</v>
      </c>
      <c r="C17" t="s">
        <v>17</v>
      </c>
      <c r="D17">
        <v>144</v>
      </c>
      <c r="E17">
        <v>179</v>
      </c>
      <c r="F17" s="7">
        <v>432.76</v>
      </c>
      <c r="G17" t="s">
        <v>13</v>
      </c>
      <c r="H17" s="3">
        <v>45032</v>
      </c>
      <c r="I17" s="3">
        <v>45213</v>
      </c>
      <c r="J17" t="s">
        <v>24</v>
      </c>
      <c r="K17" t="str">
        <f>IF(InventoryData[[#This Row],[Stock Quantity]] &lt; InventoryData[[#This Row],[Reorder Level]], "Below Reorder", "Sufficient")</f>
        <v>Below Reorder</v>
      </c>
      <c r="L17" s="7">
        <f>InventoryData[[#This Row],[Stock Quantity]] * InventoryData[[#This Row],[Unit Price]]</f>
        <v>62317.440000000002</v>
      </c>
      <c r="M17" t="str">
        <f>TEXT(InventoryData[[#This Row],[Last Ordered Date]],"mmm-yyyy")</f>
        <v>Apr-2023</v>
      </c>
      <c r="N17" s="5">
        <f>InventoryData[[#This Row],[Unit Price]]*InventoryData[[#This Row],[Stock Quantity]]</f>
        <v>62317.440000000002</v>
      </c>
    </row>
    <row r="18" spans="1:14" x14ac:dyDescent="0.25">
      <c r="A18" t="s">
        <v>51</v>
      </c>
      <c r="B18" t="s">
        <v>52</v>
      </c>
      <c r="C18" t="s">
        <v>34</v>
      </c>
      <c r="D18">
        <v>210</v>
      </c>
      <c r="E18">
        <v>180</v>
      </c>
      <c r="F18" s="7">
        <v>118.94</v>
      </c>
      <c r="G18" t="s">
        <v>18</v>
      </c>
      <c r="H18" s="3">
        <v>45039</v>
      </c>
      <c r="I18" s="3">
        <v>45220</v>
      </c>
      <c r="J18" t="s">
        <v>19</v>
      </c>
      <c r="K18" t="str">
        <f>IF(InventoryData[[#This Row],[Stock Quantity]] &lt; InventoryData[[#This Row],[Reorder Level]], "Below Reorder", "Sufficient")</f>
        <v>Sufficient</v>
      </c>
      <c r="L18" s="7">
        <f>InventoryData[[#This Row],[Stock Quantity]] * InventoryData[[#This Row],[Unit Price]]</f>
        <v>24977.399999999998</v>
      </c>
      <c r="M18" t="str">
        <f>TEXT(InventoryData[[#This Row],[Last Ordered Date]],"mmm-yyyy")</f>
        <v>Apr-2023</v>
      </c>
      <c r="N18" s="5">
        <f>InventoryData[[#This Row],[Unit Price]]*InventoryData[[#This Row],[Stock Quantity]]</f>
        <v>24977.399999999998</v>
      </c>
    </row>
    <row r="19" spans="1:14" x14ac:dyDescent="0.25">
      <c r="A19" t="s">
        <v>53</v>
      </c>
      <c r="B19" t="s">
        <v>54</v>
      </c>
      <c r="C19" t="s">
        <v>34</v>
      </c>
      <c r="D19">
        <v>337</v>
      </c>
      <c r="E19">
        <v>162</v>
      </c>
      <c r="F19" s="7">
        <v>252.1</v>
      </c>
      <c r="G19" t="s">
        <v>13</v>
      </c>
      <c r="H19" s="3">
        <v>45046</v>
      </c>
      <c r="I19" s="3">
        <v>45227</v>
      </c>
      <c r="J19" t="s">
        <v>24</v>
      </c>
      <c r="K19" t="str">
        <f>IF(InventoryData[[#This Row],[Stock Quantity]] &lt; InventoryData[[#This Row],[Reorder Level]], "Below Reorder", "Sufficient")</f>
        <v>Sufficient</v>
      </c>
      <c r="L19" s="7">
        <f>InventoryData[[#This Row],[Stock Quantity]] * InventoryData[[#This Row],[Unit Price]]</f>
        <v>84957.7</v>
      </c>
      <c r="M19" t="str">
        <f>TEXT(InventoryData[[#This Row],[Last Ordered Date]],"mmm-yyyy")</f>
        <v>Apr-2023</v>
      </c>
      <c r="N19" s="5">
        <f>InventoryData[[#This Row],[Unit Price]]*InventoryData[[#This Row],[Stock Quantity]]</f>
        <v>84957.7</v>
      </c>
    </row>
    <row r="20" spans="1:14" x14ac:dyDescent="0.25">
      <c r="A20" t="s">
        <v>55</v>
      </c>
      <c r="B20" t="s">
        <v>56</v>
      </c>
      <c r="C20" t="s">
        <v>34</v>
      </c>
      <c r="D20">
        <v>277</v>
      </c>
      <c r="E20">
        <v>150</v>
      </c>
      <c r="F20" s="7">
        <v>288.14</v>
      </c>
      <c r="G20" t="s">
        <v>27</v>
      </c>
      <c r="H20" s="3">
        <v>45053</v>
      </c>
      <c r="I20" s="3">
        <v>45234</v>
      </c>
      <c r="J20" t="s">
        <v>19</v>
      </c>
      <c r="K20" t="str">
        <f>IF(InventoryData[[#This Row],[Stock Quantity]] &lt; InventoryData[[#This Row],[Reorder Level]], "Below Reorder", "Sufficient")</f>
        <v>Sufficient</v>
      </c>
      <c r="L20" s="7">
        <f>InventoryData[[#This Row],[Stock Quantity]] * InventoryData[[#This Row],[Unit Price]]</f>
        <v>79814.78</v>
      </c>
      <c r="M20" t="str">
        <f>TEXT(InventoryData[[#This Row],[Last Ordered Date]],"mmm-yyyy")</f>
        <v>May-2023</v>
      </c>
      <c r="N20" s="5">
        <f>InventoryData[[#This Row],[Unit Price]]*InventoryData[[#This Row],[Stock Quantity]]</f>
        <v>79814.78</v>
      </c>
    </row>
    <row r="21" spans="1:14" x14ac:dyDescent="0.25">
      <c r="A21" t="s">
        <v>57</v>
      </c>
      <c r="B21" t="s">
        <v>58</v>
      </c>
      <c r="C21" t="s">
        <v>34</v>
      </c>
      <c r="D21">
        <v>427</v>
      </c>
      <c r="E21">
        <v>162</v>
      </c>
      <c r="F21" s="7">
        <v>385.43</v>
      </c>
      <c r="G21" t="s">
        <v>18</v>
      </c>
      <c r="H21" s="3">
        <v>45060</v>
      </c>
      <c r="I21" s="3">
        <v>45241</v>
      </c>
      <c r="J21" t="s">
        <v>14</v>
      </c>
      <c r="K21" t="str">
        <f>IF(InventoryData[[#This Row],[Stock Quantity]] &lt; InventoryData[[#This Row],[Reorder Level]], "Below Reorder", "Sufficient")</f>
        <v>Sufficient</v>
      </c>
      <c r="L21" s="7">
        <f>InventoryData[[#This Row],[Stock Quantity]] * InventoryData[[#This Row],[Unit Price]]</f>
        <v>164578.61000000002</v>
      </c>
      <c r="M21" t="str">
        <f>TEXT(InventoryData[[#This Row],[Last Ordered Date]],"mmm-yyyy")</f>
        <v>May-2023</v>
      </c>
      <c r="N21" s="5">
        <f>InventoryData[[#This Row],[Unit Price]]*InventoryData[[#This Row],[Stock Quantity]]</f>
        <v>164578.61000000002</v>
      </c>
    </row>
    <row r="22" spans="1:14" x14ac:dyDescent="0.25">
      <c r="A22" t="s">
        <v>59</v>
      </c>
      <c r="B22" t="s">
        <v>60</v>
      </c>
      <c r="C22" t="s">
        <v>17</v>
      </c>
      <c r="D22">
        <v>42</v>
      </c>
      <c r="E22">
        <v>130</v>
      </c>
      <c r="F22" s="7">
        <v>26.58</v>
      </c>
      <c r="G22" t="s">
        <v>27</v>
      </c>
      <c r="H22" s="3">
        <v>45067</v>
      </c>
      <c r="I22" s="3">
        <v>45248</v>
      </c>
      <c r="J22" t="s">
        <v>19</v>
      </c>
      <c r="K22" t="str">
        <f>IF(InventoryData[[#This Row],[Stock Quantity]] &lt; InventoryData[[#This Row],[Reorder Level]], "Below Reorder", "Sufficient")</f>
        <v>Below Reorder</v>
      </c>
      <c r="L22" s="7">
        <f>InventoryData[[#This Row],[Stock Quantity]] * InventoryData[[#This Row],[Unit Price]]</f>
        <v>1116.3599999999999</v>
      </c>
      <c r="M22" t="str">
        <f>TEXT(InventoryData[[#This Row],[Last Ordered Date]],"mmm-yyyy")</f>
        <v>May-2023</v>
      </c>
      <c r="N22" s="5">
        <f>InventoryData[[#This Row],[Unit Price]]*InventoryData[[#This Row],[Stock Quantity]]</f>
        <v>1116.3599999999999</v>
      </c>
    </row>
    <row r="23" spans="1:14" x14ac:dyDescent="0.25">
      <c r="A23" t="s">
        <v>61</v>
      </c>
      <c r="B23" t="s">
        <v>62</v>
      </c>
      <c r="C23" t="s">
        <v>17</v>
      </c>
      <c r="D23">
        <v>57</v>
      </c>
      <c r="E23">
        <v>162</v>
      </c>
      <c r="F23" s="7">
        <v>497.3</v>
      </c>
      <c r="G23" t="s">
        <v>27</v>
      </c>
      <c r="H23" s="3">
        <v>45074</v>
      </c>
      <c r="I23" s="3">
        <v>45255</v>
      </c>
      <c r="J23" t="s">
        <v>19</v>
      </c>
      <c r="K23" t="str">
        <f>IF(InventoryData[[#This Row],[Stock Quantity]] &lt; InventoryData[[#This Row],[Reorder Level]], "Below Reorder", "Sufficient")</f>
        <v>Below Reorder</v>
      </c>
      <c r="L23" s="7">
        <f>InventoryData[[#This Row],[Stock Quantity]] * InventoryData[[#This Row],[Unit Price]]</f>
        <v>28346.100000000002</v>
      </c>
      <c r="M23" t="str">
        <f>TEXT(InventoryData[[#This Row],[Last Ordered Date]],"mmm-yyyy")</f>
        <v>May-2023</v>
      </c>
      <c r="N23" s="5">
        <f>InventoryData[[#This Row],[Unit Price]]*InventoryData[[#This Row],[Stock Quantity]]</f>
        <v>28346.100000000002</v>
      </c>
    </row>
    <row r="24" spans="1:14" x14ac:dyDescent="0.25">
      <c r="A24" t="s">
        <v>63</v>
      </c>
      <c r="B24" t="s">
        <v>64</v>
      </c>
      <c r="C24" t="s">
        <v>34</v>
      </c>
      <c r="D24">
        <v>416</v>
      </c>
      <c r="E24">
        <v>51</v>
      </c>
      <c r="F24" s="7">
        <v>237.62</v>
      </c>
      <c r="G24" t="s">
        <v>18</v>
      </c>
      <c r="H24" s="3">
        <v>45081</v>
      </c>
      <c r="I24" s="3">
        <v>45262</v>
      </c>
      <c r="J24" t="s">
        <v>14</v>
      </c>
      <c r="K24" t="str">
        <f>IF(InventoryData[[#This Row],[Stock Quantity]] &lt; InventoryData[[#This Row],[Reorder Level]], "Below Reorder", "Sufficient")</f>
        <v>Sufficient</v>
      </c>
      <c r="L24" s="7">
        <f>InventoryData[[#This Row],[Stock Quantity]] * InventoryData[[#This Row],[Unit Price]]</f>
        <v>98849.919999999998</v>
      </c>
      <c r="M24" t="str">
        <f>TEXT(InventoryData[[#This Row],[Last Ordered Date]],"mmm-yyyy")</f>
        <v>Jun-2023</v>
      </c>
      <c r="N24" s="5">
        <f>InventoryData[[#This Row],[Unit Price]]*InventoryData[[#This Row],[Stock Quantity]]</f>
        <v>98849.919999999998</v>
      </c>
    </row>
    <row r="25" spans="1:14" x14ac:dyDescent="0.25">
      <c r="A25" t="s">
        <v>65</v>
      </c>
      <c r="B25" t="s">
        <v>66</v>
      </c>
      <c r="C25" t="s">
        <v>34</v>
      </c>
      <c r="D25">
        <v>71</v>
      </c>
      <c r="E25">
        <v>179</v>
      </c>
      <c r="F25" s="7">
        <v>143.38</v>
      </c>
      <c r="G25" t="s">
        <v>27</v>
      </c>
      <c r="H25" s="3">
        <v>45088</v>
      </c>
      <c r="I25" s="3">
        <v>45269</v>
      </c>
      <c r="J25" t="s">
        <v>19</v>
      </c>
      <c r="K25" t="str">
        <f>IF(InventoryData[[#This Row],[Stock Quantity]] &lt; InventoryData[[#This Row],[Reorder Level]], "Below Reorder", "Sufficient")</f>
        <v>Below Reorder</v>
      </c>
      <c r="L25" s="7">
        <f>InventoryData[[#This Row],[Stock Quantity]] * InventoryData[[#This Row],[Unit Price]]</f>
        <v>10179.98</v>
      </c>
      <c r="M25" t="str">
        <f>TEXT(InventoryData[[#This Row],[Last Ordered Date]],"mmm-yyyy")</f>
        <v>Jun-2023</v>
      </c>
      <c r="N25" s="5">
        <f>InventoryData[[#This Row],[Unit Price]]*InventoryData[[#This Row],[Stock Quantity]]</f>
        <v>10179.98</v>
      </c>
    </row>
    <row r="26" spans="1:14" x14ac:dyDescent="0.25">
      <c r="A26" t="s">
        <v>67</v>
      </c>
      <c r="B26" t="s">
        <v>68</v>
      </c>
      <c r="C26" t="s">
        <v>17</v>
      </c>
      <c r="D26">
        <v>225</v>
      </c>
      <c r="E26">
        <v>103</v>
      </c>
      <c r="F26" s="7">
        <v>442.33</v>
      </c>
      <c r="G26" t="s">
        <v>13</v>
      </c>
      <c r="H26" s="3">
        <v>45095</v>
      </c>
      <c r="I26" s="3">
        <v>45276</v>
      </c>
      <c r="J26" t="s">
        <v>14</v>
      </c>
      <c r="K26" t="str">
        <f>IF(InventoryData[[#This Row],[Stock Quantity]] &lt; InventoryData[[#This Row],[Reorder Level]], "Below Reorder", "Sufficient")</f>
        <v>Sufficient</v>
      </c>
      <c r="L26" s="7">
        <f>InventoryData[[#This Row],[Stock Quantity]] * InventoryData[[#This Row],[Unit Price]]</f>
        <v>99524.25</v>
      </c>
      <c r="M26" t="str">
        <f>TEXT(InventoryData[[#This Row],[Last Ordered Date]],"mmm-yyyy")</f>
        <v>Jun-2023</v>
      </c>
      <c r="N26" s="5">
        <f>InventoryData[[#This Row],[Unit Price]]*InventoryData[[#This Row],[Stock Quantity]]</f>
        <v>99524.25</v>
      </c>
    </row>
    <row r="27" spans="1:14" x14ac:dyDescent="0.25">
      <c r="A27" t="s">
        <v>69</v>
      </c>
      <c r="B27" t="s">
        <v>70</v>
      </c>
      <c r="C27" t="s">
        <v>17</v>
      </c>
      <c r="D27">
        <v>302</v>
      </c>
      <c r="E27">
        <v>136</v>
      </c>
      <c r="F27" s="7">
        <v>375.12</v>
      </c>
      <c r="G27" t="s">
        <v>27</v>
      </c>
      <c r="H27" s="3">
        <v>45102</v>
      </c>
      <c r="I27" s="3">
        <v>45283</v>
      </c>
      <c r="J27" t="s">
        <v>19</v>
      </c>
      <c r="K27" t="str">
        <f>IF(InventoryData[[#This Row],[Stock Quantity]] &lt; InventoryData[[#This Row],[Reorder Level]], "Below Reorder", "Sufficient")</f>
        <v>Sufficient</v>
      </c>
      <c r="L27" s="7">
        <f>InventoryData[[#This Row],[Stock Quantity]] * InventoryData[[#This Row],[Unit Price]]</f>
        <v>113286.24</v>
      </c>
      <c r="M27" t="str">
        <f>TEXT(InventoryData[[#This Row],[Last Ordered Date]],"mmm-yyyy")</f>
        <v>Jun-2023</v>
      </c>
      <c r="N27" s="5">
        <f>InventoryData[[#This Row],[Unit Price]]*InventoryData[[#This Row],[Stock Quantity]]</f>
        <v>113286.24</v>
      </c>
    </row>
    <row r="28" spans="1:14" x14ac:dyDescent="0.25">
      <c r="A28" t="s">
        <v>71</v>
      </c>
      <c r="B28" t="s">
        <v>72</v>
      </c>
      <c r="C28" t="s">
        <v>17</v>
      </c>
      <c r="D28">
        <v>108</v>
      </c>
      <c r="E28">
        <v>178</v>
      </c>
      <c r="F28" s="7">
        <v>476.77</v>
      </c>
      <c r="G28" t="s">
        <v>18</v>
      </c>
      <c r="H28" s="3">
        <v>45109</v>
      </c>
      <c r="I28" s="3">
        <v>45290</v>
      </c>
      <c r="J28" t="s">
        <v>24</v>
      </c>
      <c r="K28" t="str">
        <f>IF(InventoryData[[#This Row],[Stock Quantity]] &lt; InventoryData[[#This Row],[Reorder Level]], "Below Reorder", "Sufficient")</f>
        <v>Below Reorder</v>
      </c>
      <c r="L28" s="7">
        <f>InventoryData[[#This Row],[Stock Quantity]] * InventoryData[[#This Row],[Unit Price]]</f>
        <v>51491.159999999996</v>
      </c>
      <c r="M28" t="str">
        <f>TEXT(InventoryData[[#This Row],[Last Ordered Date]],"mmm-yyyy")</f>
        <v>Jul-2023</v>
      </c>
      <c r="N28" s="5">
        <f>InventoryData[[#This Row],[Unit Price]]*InventoryData[[#This Row],[Stock Quantity]]</f>
        <v>51491.159999999996</v>
      </c>
    </row>
    <row r="29" spans="1:14" x14ac:dyDescent="0.25">
      <c r="A29" t="s">
        <v>73</v>
      </c>
      <c r="B29" t="s">
        <v>74</v>
      </c>
      <c r="C29" t="s">
        <v>12</v>
      </c>
      <c r="D29">
        <v>181</v>
      </c>
      <c r="E29">
        <v>196</v>
      </c>
      <c r="F29" s="7">
        <v>168.72</v>
      </c>
      <c r="G29" t="s">
        <v>18</v>
      </c>
      <c r="H29" s="3">
        <v>45116</v>
      </c>
      <c r="I29" s="3">
        <v>45297</v>
      </c>
      <c r="J29" t="s">
        <v>24</v>
      </c>
      <c r="K29" t="str">
        <f>IF(InventoryData[[#This Row],[Stock Quantity]] &lt; InventoryData[[#This Row],[Reorder Level]], "Below Reorder", "Sufficient")</f>
        <v>Below Reorder</v>
      </c>
      <c r="L29" s="7">
        <f>InventoryData[[#This Row],[Stock Quantity]] * InventoryData[[#This Row],[Unit Price]]</f>
        <v>30538.32</v>
      </c>
      <c r="M29" t="str">
        <f>TEXT(InventoryData[[#This Row],[Last Ordered Date]],"mmm-yyyy")</f>
        <v>Jul-2023</v>
      </c>
      <c r="N29" s="5">
        <f>InventoryData[[#This Row],[Unit Price]]*InventoryData[[#This Row],[Stock Quantity]]</f>
        <v>30538.32</v>
      </c>
    </row>
    <row r="30" spans="1:14" x14ac:dyDescent="0.25">
      <c r="A30" t="s">
        <v>75</v>
      </c>
      <c r="B30" t="s">
        <v>76</v>
      </c>
      <c r="C30" t="s">
        <v>12</v>
      </c>
      <c r="D30">
        <v>369</v>
      </c>
      <c r="E30">
        <v>175</v>
      </c>
      <c r="F30" s="7">
        <v>278.62</v>
      </c>
      <c r="G30" t="s">
        <v>18</v>
      </c>
      <c r="H30" s="3">
        <v>45123</v>
      </c>
      <c r="I30" s="3">
        <v>45304</v>
      </c>
      <c r="J30" t="s">
        <v>19</v>
      </c>
      <c r="K30" t="str">
        <f>IF(InventoryData[[#This Row],[Stock Quantity]] &lt; InventoryData[[#This Row],[Reorder Level]], "Below Reorder", "Sufficient")</f>
        <v>Sufficient</v>
      </c>
      <c r="L30" s="7">
        <f>InventoryData[[#This Row],[Stock Quantity]] * InventoryData[[#This Row],[Unit Price]]</f>
        <v>102810.78</v>
      </c>
      <c r="M30" t="str">
        <f>TEXT(InventoryData[[#This Row],[Last Ordered Date]],"mmm-yyyy")</f>
        <v>Jul-2023</v>
      </c>
      <c r="N30" s="5">
        <f>InventoryData[[#This Row],[Unit Price]]*InventoryData[[#This Row],[Stock Quantity]]</f>
        <v>102810.78</v>
      </c>
    </row>
    <row r="31" spans="1:14" x14ac:dyDescent="0.25">
      <c r="A31" t="s">
        <v>77</v>
      </c>
      <c r="B31" t="s">
        <v>78</v>
      </c>
      <c r="C31" t="s">
        <v>12</v>
      </c>
      <c r="D31">
        <v>223</v>
      </c>
      <c r="E31">
        <v>179</v>
      </c>
      <c r="F31" s="7">
        <v>288.27999999999997</v>
      </c>
      <c r="G31" t="s">
        <v>27</v>
      </c>
      <c r="H31" s="3">
        <v>45130</v>
      </c>
      <c r="I31" s="3">
        <v>45311</v>
      </c>
      <c r="J31" t="s">
        <v>19</v>
      </c>
      <c r="K31" t="str">
        <f>IF(InventoryData[[#This Row],[Stock Quantity]] &lt; InventoryData[[#This Row],[Reorder Level]], "Below Reorder", "Sufficient")</f>
        <v>Sufficient</v>
      </c>
      <c r="L31" s="7">
        <f>InventoryData[[#This Row],[Stock Quantity]] * InventoryData[[#This Row],[Unit Price]]</f>
        <v>64286.439999999995</v>
      </c>
      <c r="M31" t="str">
        <f>TEXT(InventoryData[[#This Row],[Last Ordered Date]],"mmm-yyyy")</f>
        <v>Jul-2023</v>
      </c>
      <c r="N31" s="5">
        <f>InventoryData[[#This Row],[Unit Price]]*InventoryData[[#This Row],[Stock Quantity]]</f>
        <v>64286.439999999995</v>
      </c>
    </row>
    <row r="32" spans="1:14" x14ac:dyDescent="0.25">
      <c r="A32" t="s">
        <v>79</v>
      </c>
      <c r="B32" t="s">
        <v>80</v>
      </c>
      <c r="C32" t="s">
        <v>34</v>
      </c>
      <c r="D32">
        <v>484</v>
      </c>
      <c r="E32">
        <v>102</v>
      </c>
      <c r="F32" s="7">
        <v>490.26</v>
      </c>
      <c r="G32" t="s">
        <v>18</v>
      </c>
      <c r="H32" s="3">
        <v>45137</v>
      </c>
      <c r="I32" s="3">
        <v>45318</v>
      </c>
      <c r="J32" t="s">
        <v>19</v>
      </c>
      <c r="K32" t="str">
        <f>IF(InventoryData[[#This Row],[Stock Quantity]] &lt; InventoryData[[#This Row],[Reorder Level]], "Below Reorder", "Sufficient")</f>
        <v>Sufficient</v>
      </c>
      <c r="L32" s="7">
        <f>InventoryData[[#This Row],[Stock Quantity]] * InventoryData[[#This Row],[Unit Price]]</f>
        <v>237285.84</v>
      </c>
      <c r="M32" t="str">
        <f>TEXT(InventoryData[[#This Row],[Last Ordered Date]],"mmm-yyyy")</f>
        <v>Jul-2023</v>
      </c>
      <c r="N32" s="5">
        <f>InventoryData[[#This Row],[Unit Price]]*InventoryData[[#This Row],[Stock Quantity]]</f>
        <v>237285.84</v>
      </c>
    </row>
    <row r="33" spans="1:14" x14ac:dyDescent="0.25">
      <c r="A33" t="s">
        <v>81</v>
      </c>
      <c r="B33" t="s">
        <v>82</v>
      </c>
      <c r="C33" t="s">
        <v>12</v>
      </c>
      <c r="D33">
        <v>44</v>
      </c>
      <c r="E33">
        <v>117</v>
      </c>
      <c r="F33" s="7">
        <v>42.3</v>
      </c>
      <c r="G33" t="s">
        <v>18</v>
      </c>
      <c r="H33" s="3">
        <v>45144</v>
      </c>
      <c r="I33" s="3">
        <v>45325</v>
      </c>
      <c r="J33" t="s">
        <v>24</v>
      </c>
      <c r="K33" t="str">
        <f>IF(InventoryData[[#This Row],[Stock Quantity]] &lt; InventoryData[[#This Row],[Reorder Level]], "Below Reorder", "Sufficient")</f>
        <v>Below Reorder</v>
      </c>
      <c r="L33" s="7">
        <f>InventoryData[[#This Row],[Stock Quantity]] * InventoryData[[#This Row],[Unit Price]]</f>
        <v>1861.1999999999998</v>
      </c>
      <c r="M33" t="str">
        <f>TEXT(InventoryData[[#This Row],[Last Ordered Date]],"mmm-yyyy")</f>
        <v>Aug-2023</v>
      </c>
      <c r="N33" s="5">
        <f>InventoryData[[#This Row],[Unit Price]]*InventoryData[[#This Row],[Stock Quantity]]</f>
        <v>1861.1999999999998</v>
      </c>
    </row>
    <row r="34" spans="1:14" x14ac:dyDescent="0.25">
      <c r="A34" t="s">
        <v>83</v>
      </c>
      <c r="B34" t="s">
        <v>84</v>
      </c>
      <c r="C34" t="s">
        <v>34</v>
      </c>
      <c r="D34">
        <v>458</v>
      </c>
      <c r="E34">
        <v>172</v>
      </c>
      <c r="F34" s="7">
        <v>156.32</v>
      </c>
      <c r="G34" t="s">
        <v>27</v>
      </c>
      <c r="H34" s="3">
        <v>45151</v>
      </c>
      <c r="I34" s="3">
        <v>45332</v>
      </c>
      <c r="J34" t="s">
        <v>19</v>
      </c>
      <c r="K34" t="str">
        <f>IF(InventoryData[[#This Row],[Stock Quantity]] &lt; InventoryData[[#This Row],[Reorder Level]], "Below Reorder", "Sufficient")</f>
        <v>Sufficient</v>
      </c>
      <c r="L34" s="7">
        <f>InventoryData[[#This Row],[Stock Quantity]] * InventoryData[[#This Row],[Unit Price]]</f>
        <v>71594.559999999998</v>
      </c>
      <c r="M34" t="str">
        <f>TEXT(InventoryData[[#This Row],[Last Ordered Date]],"mmm-yyyy")</f>
        <v>Aug-2023</v>
      </c>
      <c r="N34" s="5">
        <f>InventoryData[[#This Row],[Unit Price]]*InventoryData[[#This Row],[Stock Quantity]]</f>
        <v>71594.559999999998</v>
      </c>
    </row>
    <row r="35" spans="1:14" x14ac:dyDescent="0.25">
      <c r="A35" t="s">
        <v>85</v>
      </c>
      <c r="B35" t="s">
        <v>86</v>
      </c>
      <c r="C35" t="s">
        <v>34</v>
      </c>
      <c r="D35">
        <v>236</v>
      </c>
      <c r="E35">
        <v>194</v>
      </c>
      <c r="F35" s="7">
        <v>99.5</v>
      </c>
      <c r="G35" t="s">
        <v>13</v>
      </c>
      <c r="H35" s="3">
        <v>45158</v>
      </c>
      <c r="I35" s="3">
        <v>45339</v>
      </c>
      <c r="J35" t="s">
        <v>24</v>
      </c>
      <c r="K35" t="str">
        <f>IF(InventoryData[[#This Row],[Stock Quantity]] &lt; InventoryData[[#This Row],[Reorder Level]], "Below Reorder", "Sufficient")</f>
        <v>Sufficient</v>
      </c>
      <c r="L35" s="7">
        <f>InventoryData[[#This Row],[Stock Quantity]] * InventoryData[[#This Row],[Unit Price]]</f>
        <v>23482</v>
      </c>
      <c r="M35" t="str">
        <f>TEXT(InventoryData[[#This Row],[Last Ordered Date]],"mmm-yyyy")</f>
        <v>Aug-2023</v>
      </c>
      <c r="N35" s="5">
        <f>InventoryData[[#This Row],[Unit Price]]*InventoryData[[#This Row],[Stock Quantity]]</f>
        <v>23482</v>
      </c>
    </row>
    <row r="36" spans="1:14" x14ac:dyDescent="0.25">
      <c r="A36" t="s">
        <v>87</v>
      </c>
      <c r="B36" t="s">
        <v>88</v>
      </c>
      <c r="C36" t="s">
        <v>12</v>
      </c>
      <c r="D36">
        <v>110</v>
      </c>
      <c r="E36">
        <v>87</v>
      </c>
      <c r="F36" s="7">
        <v>137.9</v>
      </c>
      <c r="G36" t="s">
        <v>27</v>
      </c>
      <c r="H36" s="3">
        <v>45165</v>
      </c>
      <c r="I36" s="3">
        <v>45346</v>
      </c>
      <c r="J36" t="s">
        <v>14</v>
      </c>
      <c r="K36" t="str">
        <f>IF(InventoryData[[#This Row],[Stock Quantity]] &lt; InventoryData[[#This Row],[Reorder Level]], "Below Reorder", "Sufficient")</f>
        <v>Sufficient</v>
      </c>
      <c r="L36" s="7">
        <f>InventoryData[[#This Row],[Stock Quantity]] * InventoryData[[#This Row],[Unit Price]]</f>
        <v>15169</v>
      </c>
      <c r="M36" t="str">
        <f>TEXT(InventoryData[[#This Row],[Last Ordered Date]],"mmm-yyyy")</f>
        <v>Aug-2023</v>
      </c>
      <c r="N36" s="5">
        <f>InventoryData[[#This Row],[Unit Price]]*InventoryData[[#This Row],[Stock Quantity]]</f>
        <v>15169</v>
      </c>
    </row>
    <row r="37" spans="1:14" x14ac:dyDescent="0.25">
      <c r="A37" t="s">
        <v>89</v>
      </c>
      <c r="B37" t="s">
        <v>90</v>
      </c>
      <c r="C37" t="s">
        <v>34</v>
      </c>
      <c r="D37">
        <v>440</v>
      </c>
      <c r="E37">
        <v>73</v>
      </c>
      <c r="F37" s="7">
        <v>245.21</v>
      </c>
      <c r="G37" t="s">
        <v>18</v>
      </c>
      <c r="H37" s="3">
        <v>45172</v>
      </c>
      <c r="I37" s="3">
        <v>45353</v>
      </c>
      <c r="J37" t="s">
        <v>24</v>
      </c>
      <c r="K37" t="str">
        <f>IF(InventoryData[[#This Row],[Stock Quantity]] &lt; InventoryData[[#This Row],[Reorder Level]], "Below Reorder", "Sufficient")</f>
        <v>Sufficient</v>
      </c>
      <c r="L37" s="7">
        <f>InventoryData[[#This Row],[Stock Quantity]] * InventoryData[[#This Row],[Unit Price]]</f>
        <v>107892.40000000001</v>
      </c>
      <c r="M37" t="str">
        <f>TEXT(InventoryData[[#This Row],[Last Ordered Date]],"mmm-yyyy")</f>
        <v>Sep-2023</v>
      </c>
      <c r="N37" s="5">
        <f>InventoryData[[#This Row],[Unit Price]]*InventoryData[[#This Row],[Stock Quantity]]</f>
        <v>107892.40000000001</v>
      </c>
    </row>
    <row r="38" spans="1:14" x14ac:dyDescent="0.25">
      <c r="A38" t="s">
        <v>91</v>
      </c>
      <c r="B38" t="s">
        <v>92</v>
      </c>
      <c r="C38" t="s">
        <v>12</v>
      </c>
      <c r="D38">
        <v>471</v>
      </c>
      <c r="E38">
        <v>118</v>
      </c>
      <c r="F38" s="7">
        <v>189.48</v>
      </c>
      <c r="G38" t="s">
        <v>18</v>
      </c>
      <c r="H38" s="3">
        <v>45179</v>
      </c>
      <c r="I38" s="3">
        <v>45360</v>
      </c>
      <c r="J38" t="s">
        <v>24</v>
      </c>
      <c r="K38" t="str">
        <f>IF(InventoryData[[#This Row],[Stock Quantity]] &lt; InventoryData[[#This Row],[Reorder Level]], "Below Reorder", "Sufficient")</f>
        <v>Sufficient</v>
      </c>
      <c r="L38" s="7">
        <f>InventoryData[[#This Row],[Stock Quantity]] * InventoryData[[#This Row],[Unit Price]]</f>
        <v>89245.08</v>
      </c>
      <c r="M38" t="str">
        <f>TEXT(InventoryData[[#This Row],[Last Ordered Date]],"mmm-yyyy")</f>
        <v>Sep-2023</v>
      </c>
      <c r="N38" s="5">
        <f>InventoryData[[#This Row],[Unit Price]]*InventoryData[[#This Row],[Stock Quantity]]</f>
        <v>89245.08</v>
      </c>
    </row>
    <row r="39" spans="1:14" x14ac:dyDescent="0.25">
      <c r="A39" t="s">
        <v>93</v>
      </c>
      <c r="B39" t="s">
        <v>94</v>
      </c>
      <c r="C39" t="s">
        <v>12</v>
      </c>
      <c r="D39">
        <v>140</v>
      </c>
      <c r="E39">
        <v>165</v>
      </c>
      <c r="F39" s="7">
        <v>200.37</v>
      </c>
      <c r="G39" t="s">
        <v>27</v>
      </c>
      <c r="H39" s="3">
        <v>45186</v>
      </c>
      <c r="I39" s="3">
        <v>45367</v>
      </c>
      <c r="J39" t="s">
        <v>14</v>
      </c>
      <c r="K39" t="str">
        <f>IF(InventoryData[[#This Row],[Stock Quantity]] &lt; InventoryData[[#This Row],[Reorder Level]], "Below Reorder", "Sufficient")</f>
        <v>Below Reorder</v>
      </c>
      <c r="L39" s="7">
        <f>InventoryData[[#This Row],[Stock Quantity]] * InventoryData[[#This Row],[Unit Price]]</f>
        <v>28051.8</v>
      </c>
      <c r="M39" t="str">
        <f>TEXT(InventoryData[[#This Row],[Last Ordered Date]],"mmm-yyyy")</f>
        <v>Sep-2023</v>
      </c>
      <c r="N39" s="5">
        <f>InventoryData[[#This Row],[Unit Price]]*InventoryData[[#This Row],[Stock Quantity]]</f>
        <v>28051.8</v>
      </c>
    </row>
    <row r="40" spans="1:14" x14ac:dyDescent="0.25">
      <c r="A40" t="s">
        <v>95</v>
      </c>
      <c r="B40" t="s">
        <v>96</v>
      </c>
      <c r="C40" t="s">
        <v>17</v>
      </c>
      <c r="D40">
        <v>266</v>
      </c>
      <c r="E40">
        <v>147</v>
      </c>
      <c r="F40" s="7">
        <v>422.89</v>
      </c>
      <c r="G40" t="s">
        <v>13</v>
      </c>
      <c r="H40" s="3">
        <v>45193</v>
      </c>
      <c r="I40" s="3">
        <v>45374</v>
      </c>
      <c r="J40" t="s">
        <v>24</v>
      </c>
      <c r="K40" t="str">
        <f>IF(InventoryData[[#This Row],[Stock Quantity]] &lt; InventoryData[[#This Row],[Reorder Level]], "Below Reorder", "Sufficient")</f>
        <v>Sufficient</v>
      </c>
      <c r="L40" s="7">
        <f>InventoryData[[#This Row],[Stock Quantity]] * InventoryData[[#This Row],[Unit Price]]</f>
        <v>112488.73999999999</v>
      </c>
      <c r="M40" t="str">
        <f>TEXT(InventoryData[[#This Row],[Last Ordered Date]],"mmm-yyyy")</f>
        <v>Sep-2023</v>
      </c>
      <c r="N40" s="5">
        <f>InventoryData[[#This Row],[Unit Price]]*InventoryData[[#This Row],[Stock Quantity]]</f>
        <v>112488.73999999999</v>
      </c>
    </row>
    <row r="41" spans="1:14" x14ac:dyDescent="0.25">
      <c r="A41" t="s">
        <v>97</v>
      </c>
      <c r="B41" t="s">
        <v>98</v>
      </c>
      <c r="C41" t="s">
        <v>12</v>
      </c>
      <c r="D41">
        <v>14</v>
      </c>
      <c r="E41">
        <v>188</v>
      </c>
      <c r="F41" s="7">
        <v>465.36</v>
      </c>
      <c r="G41" t="s">
        <v>18</v>
      </c>
      <c r="H41" s="3">
        <v>45200</v>
      </c>
      <c r="I41" s="3">
        <v>45381</v>
      </c>
      <c r="J41" t="s">
        <v>19</v>
      </c>
      <c r="K41" t="str">
        <f>IF(InventoryData[[#This Row],[Stock Quantity]] &lt; InventoryData[[#This Row],[Reorder Level]], "Below Reorder", "Sufficient")</f>
        <v>Below Reorder</v>
      </c>
      <c r="L41" s="7">
        <f>InventoryData[[#This Row],[Stock Quantity]] * InventoryData[[#This Row],[Unit Price]]</f>
        <v>6515.04</v>
      </c>
      <c r="M41" t="str">
        <f>TEXT(InventoryData[[#This Row],[Last Ordered Date]],"mmm-yyyy")</f>
        <v>Oct-2023</v>
      </c>
      <c r="N41" s="5">
        <f>InventoryData[[#This Row],[Unit Price]]*InventoryData[[#This Row],[Stock Quantity]]</f>
        <v>6515.04</v>
      </c>
    </row>
    <row r="42" spans="1:14" x14ac:dyDescent="0.25">
      <c r="A42" t="s">
        <v>99</v>
      </c>
      <c r="B42" t="s">
        <v>100</v>
      </c>
      <c r="C42" t="s">
        <v>17</v>
      </c>
      <c r="D42">
        <v>227</v>
      </c>
      <c r="E42">
        <v>193</v>
      </c>
      <c r="F42" s="7">
        <v>39.86</v>
      </c>
      <c r="G42" t="s">
        <v>18</v>
      </c>
      <c r="H42" s="3">
        <v>45207</v>
      </c>
      <c r="I42" s="3">
        <v>45388</v>
      </c>
      <c r="J42" t="s">
        <v>19</v>
      </c>
      <c r="K42" t="str">
        <f>IF(InventoryData[[#This Row],[Stock Quantity]] &lt; InventoryData[[#This Row],[Reorder Level]], "Below Reorder", "Sufficient")</f>
        <v>Sufficient</v>
      </c>
      <c r="L42" s="7">
        <f>InventoryData[[#This Row],[Stock Quantity]] * InventoryData[[#This Row],[Unit Price]]</f>
        <v>9048.2199999999993</v>
      </c>
      <c r="M42" t="str">
        <f>TEXT(InventoryData[[#This Row],[Last Ordered Date]],"mmm-yyyy")</f>
        <v>Oct-2023</v>
      </c>
      <c r="N42" s="5">
        <f>InventoryData[[#This Row],[Unit Price]]*InventoryData[[#This Row],[Stock Quantity]]</f>
        <v>9048.2199999999993</v>
      </c>
    </row>
    <row r="43" spans="1:14" x14ac:dyDescent="0.25">
      <c r="A43" t="s">
        <v>101</v>
      </c>
      <c r="B43" t="s">
        <v>102</v>
      </c>
      <c r="C43" t="s">
        <v>12</v>
      </c>
      <c r="D43">
        <v>264</v>
      </c>
      <c r="E43">
        <v>146</v>
      </c>
      <c r="F43" s="7">
        <v>108.41</v>
      </c>
      <c r="G43" t="s">
        <v>18</v>
      </c>
      <c r="H43" s="3">
        <v>45214</v>
      </c>
      <c r="I43" s="3">
        <v>45395</v>
      </c>
      <c r="J43" t="s">
        <v>24</v>
      </c>
      <c r="K43" t="str">
        <f>IF(InventoryData[[#This Row],[Stock Quantity]] &lt; InventoryData[[#This Row],[Reorder Level]], "Below Reorder", "Sufficient")</f>
        <v>Sufficient</v>
      </c>
      <c r="L43" s="7">
        <f>InventoryData[[#This Row],[Stock Quantity]] * InventoryData[[#This Row],[Unit Price]]</f>
        <v>28620.239999999998</v>
      </c>
      <c r="M43" t="str">
        <f>TEXT(InventoryData[[#This Row],[Last Ordered Date]],"mmm-yyyy")</f>
        <v>Oct-2023</v>
      </c>
      <c r="N43" s="5">
        <f>InventoryData[[#This Row],[Unit Price]]*InventoryData[[#This Row],[Stock Quantity]]</f>
        <v>28620.239999999998</v>
      </c>
    </row>
    <row r="44" spans="1:14" x14ac:dyDescent="0.25">
      <c r="A44" t="s">
        <v>103</v>
      </c>
      <c r="B44" t="s">
        <v>104</v>
      </c>
      <c r="C44" t="s">
        <v>12</v>
      </c>
      <c r="D44">
        <v>407</v>
      </c>
      <c r="E44">
        <v>173</v>
      </c>
      <c r="F44" s="7">
        <v>337.22</v>
      </c>
      <c r="G44" t="s">
        <v>27</v>
      </c>
      <c r="H44" s="3">
        <v>45221</v>
      </c>
      <c r="I44" s="3">
        <v>45402</v>
      </c>
      <c r="J44" t="s">
        <v>19</v>
      </c>
      <c r="K44" t="str">
        <f>IF(InventoryData[[#This Row],[Stock Quantity]] &lt; InventoryData[[#This Row],[Reorder Level]], "Below Reorder", "Sufficient")</f>
        <v>Sufficient</v>
      </c>
      <c r="L44" s="7">
        <f>InventoryData[[#This Row],[Stock Quantity]] * InventoryData[[#This Row],[Unit Price]]</f>
        <v>137248.54</v>
      </c>
      <c r="M44" t="str">
        <f>TEXT(InventoryData[[#This Row],[Last Ordered Date]],"mmm-yyyy")</f>
        <v>Oct-2023</v>
      </c>
      <c r="N44" s="5">
        <f>InventoryData[[#This Row],[Unit Price]]*InventoryData[[#This Row],[Stock Quantity]]</f>
        <v>137248.54</v>
      </c>
    </row>
    <row r="45" spans="1:14" x14ac:dyDescent="0.25">
      <c r="A45" t="s">
        <v>105</v>
      </c>
      <c r="B45" t="s">
        <v>106</v>
      </c>
      <c r="C45" t="s">
        <v>17</v>
      </c>
      <c r="D45">
        <v>368</v>
      </c>
      <c r="E45">
        <v>119</v>
      </c>
      <c r="F45" s="7">
        <v>182.53</v>
      </c>
      <c r="G45" t="s">
        <v>18</v>
      </c>
      <c r="H45" s="3">
        <v>45228</v>
      </c>
      <c r="I45" s="3">
        <v>45409</v>
      </c>
      <c r="J45" t="s">
        <v>24</v>
      </c>
      <c r="K45" t="str">
        <f>IF(InventoryData[[#This Row],[Stock Quantity]] &lt; InventoryData[[#This Row],[Reorder Level]], "Below Reorder", "Sufficient")</f>
        <v>Sufficient</v>
      </c>
      <c r="L45" s="7">
        <f>InventoryData[[#This Row],[Stock Quantity]] * InventoryData[[#This Row],[Unit Price]]</f>
        <v>67171.039999999994</v>
      </c>
      <c r="M45" t="str">
        <f>TEXT(InventoryData[[#This Row],[Last Ordered Date]],"mmm-yyyy")</f>
        <v>Oct-2023</v>
      </c>
      <c r="N45" s="5">
        <f>InventoryData[[#This Row],[Unit Price]]*InventoryData[[#This Row],[Stock Quantity]]</f>
        <v>67171.039999999994</v>
      </c>
    </row>
    <row r="46" spans="1:14" x14ac:dyDescent="0.25">
      <c r="A46" t="s">
        <v>107</v>
      </c>
      <c r="B46" t="s">
        <v>108</v>
      </c>
      <c r="C46" t="s">
        <v>17</v>
      </c>
      <c r="D46">
        <v>292</v>
      </c>
      <c r="E46">
        <v>142</v>
      </c>
      <c r="F46" s="7">
        <v>130.81</v>
      </c>
      <c r="G46" t="s">
        <v>13</v>
      </c>
      <c r="H46" s="3">
        <v>45235</v>
      </c>
      <c r="I46" s="3">
        <v>45416</v>
      </c>
      <c r="J46" t="s">
        <v>19</v>
      </c>
      <c r="K46" t="str">
        <f>IF(InventoryData[[#This Row],[Stock Quantity]] &lt; InventoryData[[#This Row],[Reorder Level]], "Below Reorder", "Sufficient")</f>
        <v>Sufficient</v>
      </c>
      <c r="L46" s="7">
        <f>InventoryData[[#This Row],[Stock Quantity]] * InventoryData[[#This Row],[Unit Price]]</f>
        <v>38196.520000000004</v>
      </c>
      <c r="M46" t="str">
        <f>TEXT(InventoryData[[#This Row],[Last Ordered Date]],"mmm-yyyy")</f>
        <v>Nov-2023</v>
      </c>
      <c r="N46" s="5">
        <f>InventoryData[[#This Row],[Unit Price]]*InventoryData[[#This Row],[Stock Quantity]]</f>
        <v>38196.520000000004</v>
      </c>
    </row>
    <row r="47" spans="1:14" x14ac:dyDescent="0.25">
      <c r="A47" t="s">
        <v>109</v>
      </c>
      <c r="B47" t="s">
        <v>110</v>
      </c>
      <c r="C47" t="s">
        <v>12</v>
      </c>
      <c r="D47">
        <v>402</v>
      </c>
      <c r="E47">
        <v>52</v>
      </c>
      <c r="F47" s="7">
        <v>151.16999999999999</v>
      </c>
      <c r="G47" t="s">
        <v>18</v>
      </c>
      <c r="H47" s="3">
        <v>45242</v>
      </c>
      <c r="I47" s="3">
        <v>45423</v>
      </c>
      <c r="J47" t="s">
        <v>19</v>
      </c>
      <c r="K47" t="str">
        <f>IF(InventoryData[[#This Row],[Stock Quantity]] &lt; InventoryData[[#This Row],[Reorder Level]], "Below Reorder", "Sufficient")</f>
        <v>Sufficient</v>
      </c>
      <c r="L47" s="7">
        <f>InventoryData[[#This Row],[Stock Quantity]] * InventoryData[[#This Row],[Unit Price]]</f>
        <v>60770.34</v>
      </c>
      <c r="M47" t="str">
        <f>TEXT(InventoryData[[#This Row],[Last Ordered Date]],"mmm-yyyy")</f>
        <v>Nov-2023</v>
      </c>
      <c r="N47" s="5">
        <f>InventoryData[[#This Row],[Unit Price]]*InventoryData[[#This Row],[Stock Quantity]]</f>
        <v>60770.34</v>
      </c>
    </row>
    <row r="48" spans="1:14" x14ac:dyDescent="0.25">
      <c r="A48" t="s">
        <v>111</v>
      </c>
      <c r="B48" t="s">
        <v>112</v>
      </c>
      <c r="C48" t="s">
        <v>34</v>
      </c>
      <c r="D48">
        <v>216</v>
      </c>
      <c r="E48">
        <v>197</v>
      </c>
      <c r="F48" s="7">
        <v>164.66</v>
      </c>
      <c r="G48" t="s">
        <v>18</v>
      </c>
      <c r="H48" s="3">
        <v>45249</v>
      </c>
      <c r="I48" s="3">
        <v>45430</v>
      </c>
      <c r="J48" t="s">
        <v>24</v>
      </c>
      <c r="K48" t="str">
        <f>IF(InventoryData[[#This Row],[Stock Quantity]] &lt; InventoryData[[#This Row],[Reorder Level]], "Below Reorder", "Sufficient")</f>
        <v>Sufficient</v>
      </c>
      <c r="L48" s="7">
        <f>InventoryData[[#This Row],[Stock Quantity]] * InventoryData[[#This Row],[Unit Price]]</f>
        <v>35566.559999999998</v>
      </c>
      <c r="M48" t="str">
        <f>TEXT(InventoryData[[#This Row],[Last Ordered Date]],"mmm-yyyy")</f>
        <v>Nov-2023</v>
      </c>
      <c r="N48" s="5">
        <f>InventoryData[[#This Row],[Unit Price]]*InventoryData[[#This Row],[Stock Quantity]]</f>
        <v>35566.559999999998</v>
      </c>
    </row>
    <row r="49" spans="1:14" x14ac:dyDescent="0.25">
      <c r="A49" t="s">
        <v>113</v>
      </c>
      <c r="B49" t="s">
        <v>114</v>
      </c>
      <c r="C49" t="s">
        <v>17</v>
      </c>
      <c r="D49">
        <v>24</v>
      </c>
      <c r="E49">
        <v>196</v>
      </c>
      <c r="F49" s="7">
        <v>425.09</v>
      </c>
      <c r="G49" t="s">
        <v>13</v>
      </c>
      <c r="H49" s="3">
        <v>45256</v>
      </c>
      <c r="I49" s="3">
        <v>45437</v>
      </c>
      <c r="J49" t="s">
        <v>19</v>
      </c>
      <c r="K49" t="str">
        <f>IF(InventoryData[[#This Row],[Stock Quantity]] &lt; InventoryData[[#This Row],[Reorder Level]], "Below Reorder", "Sufficient")</f>
        <v>Below Reorder</v>
      </c>
      <c r="L49" s="7">
        <f>InventoryData[[#This Row],[Stock Quantity]] * InventoryData[[#This Row],[Unit Price]]</f>
        <v>10202.16</v>
      </c>
      <c r="M49" t="str">
        <f>TEXT(InventoryData[[#This Row],[Last Ordered Date]],"mmm-yyyy")</f>
        <v>Nov-2023</v>
      </c>
      <c r="N49" s="5">
        <f>InventoryData[[#This Row],[Unit Price]]*InventoryData[[#This Row],[Stock Quantity]]</f>
        <v>10202.16</v>
      </c>
    </row>
    <row r="50" spans="1:14" x14ac:dyDescent="0.25">
      <c r="A50" t="s">
        <v>115</v>
      </c>
      <c r="B50" t="s">
        <v>116</v>
      </c>
      <c r="C50" t="s">
        <v>34</v>
      </c>
      <c r="D50">
        <v>355</v>
      </c>
      <c r="E50">
        <v>139</v>
      </c>
      <c r="F50" s="7">
        <v>72.63</v>
      </c>
      <c r="G50" t="s">
        <v>18</v>
      </c>
      <c r="H50" s="3">
        <v>45263</v>
      </c>
      <c r="I50" s="3">
        <v>45444</v>
      </c>
      <c r="J50" t="s">
        <v>24</v>
      </c>
      <c r="K50" t="str">
        <f>IF(InventoryData[[#This Row],[Stock Quantity]] &lt; InventoryData[[#This Row],[Reorder Level]], "Below Reorder", "Sufficient")</f>
        <v>Sufficient</v>
      </c>
      <c r="L50" s="7">
        <f>InventoryData[[#This Row],[Stock Quantity]] * InventoryData[[#This Row],[Unit Price]]</f>
        <v>25783.649999999998</v>
      </c>
      <c r="M50" t="str">
        <f>TEXT(InventoryData[[#This Row],[Last Ordered Date]],"mmm-yyyy")</f>
        <v>Dec-2023</v>
      </c>
      <c r="N50" s="5">
        <f>InventoryData[[#This Row],[Unit Price]]*InventoryData[[#This Row],[Stock Quantity]]</f>
        <v>25783.649999999998</v>
      </c>
    </row>
    <row r="51" spans="1:14" x14ac:dyDescent="0.25">
      <c r="A51" t="s">
        <v>117</v>
      </c>
      <c r="B51" t="s">
        <v>118</v>
      </c>
      <c r="C51" t="s">
        <v>34</v>
      </c>
      <c r="D51">
        <v>51</v>
      </c>
      <c r="E51">
        <v>196</v>
      </c>
      <c r="F51" s="7">
        <v>355.91</v>
      </c>
      <c r="G51" t="s">
        <v>27</v>
      </c>
      <c r="H51" s="3">
        <v>45270</v>
      </c>
      <c r="I51" s="3">
        <v>45451</v>
      </c>
      <c r="J51" t="s">
        <v>19</v>
      </c>
      <c r="K51" t="str">
        <f>IF(InventoryData[[#This Row],[Stock Quantity]] &lt; InventoryData[[#This Row],[Reorder Level]], "Below Reorder", "Sufficient")</f>
        <v>Below Reorder</v>
      </c>
      <c r="L51" s="7">
        <f>InventoryData[[#This Row],[Stock Quantity]] * InventoryData[[#This Row],[Unit Price]]</f>
        <v>18151.41</v>
      </c>
      <c r="M51" t="str">
        <f>TEXT(InventoryData[[#This Row],[Last Ordered Date]],"mmm-yyyy")</f>
        <v>Dec-2023</v>
      </c>
      <c r="N51" s="5">
        <f>InventoryData[[#This Row],[Unit Price]]*InventoryData[[#This Row],[Stock Quantity]]</f>
        <v>18151.41</v>
      </c>
    </row>
    <row r="52" spans="1:14" x14ac:dyDescent="0.25">
      <c r="A52" t="s">
        <v>119</v>
      </c>
      <c r="B52" t="s">
        <v>120</v>
      </c>
      <c r="C52" t="s">
        <v>34</v>
      </c>
      <c r="D52">
        <v>389</v>
      </c>
      <c r="E52">
        <v>197</v>
      </c>
      <c r="F52" s="7">
        <v>278.64999999999998</v>
      </c>
      <c r="G52" t="s">
        <v>27</v>
      </c>
      <c r="H52" s="3">
        <v>45277</v>
      </c>
      <c r="I52" s="3">
        <v>45458</v>
      </c>
      <c r="J52" t="s">
        <v>19</v>
      </c>
      <c r="K52" t="str">
        <f>IF(InventoryData[[#This Row],[Stock Quantity]] &lt; InventoryData[[#This Row],[Reorder Level]], "Below Reorder", "Sufficient")</f>
        <v>Sufficient</v>
      </c>
      <c r="L52" s="7">
        <f>InventoryData[[#This Row],[Stock Quantity]] * InventoryData[[#This Row],[Unit Price]]</f>
        <v>108394.84999999999</v>
      </c>
      <c r="M52" t="str">
        <f>TEXT(InventoryData[[#This Row],[Last Ordered Date]],"mmm-yyyy")</f>
        <v>Dec-2023</v>
      </c>
      <c r="N52" s="5">
        <f>InventoryData[[#This Row],[Unit Price]]*InventoryData[[#This Row],[Stock Quantity]]</f>
        <v>108394.84999999999</v>
      </c>
    </row>
    <row r="53" spans="1:14" x14ac:dyDescent="0.25">
      <c r="A53" t="s">
        <v>121</v>
      </c>
      <c r="B53" t="s">
        <v>122</v>
      </c>
      <c r="C53" t="s">
        <v>17</v>
      </c>
      <c r="D53">
        <v>470</v>
      </c>
      <c r="E53">
        <v>145</v>
      </c>
      <c r="F53" s="7">
        <v>151.77000000000001</v>
      </c>
      <c r="G53" t="s">
        <v>27</v>
      </c>
      <c r="H53" s="3">
        <v>45284</v>
      </c>
      <c r="I53" s="3">
        <v>45465</v>
      </c>
      <c r="J53" t="s">
        <v>14</v>
      </c>
      <c r="K53" t="str">
        <f>IF(InventoryData[[#This Row],[Stock Quantity]] &lt; InventoryData[[#This Row],[Reorder Level]], "Below Reorder", "Sufficient")</f>
        <v>Sufficient</v>
      </c>
      <c r="L53" s="7">
        <f>InventoryData[[#This Row],[Stock Quantity]] * InventoryData[[#This Row],[Unit Price]]</f>
        <v>71331.900000000009</v>
      </c>
      <c r="M53" t="str">
        <f>TEXT(InventoryData[[#This Row],[Last Ordered Date]],"mmm-yyyy")</f>
        <v>Dec-2023</v>
      </c>
      <c r="N53" s="5">
        <f>InventoryData[[#This Row],[Unit Price]]*InventoryData[[#This Row],[Stock Quantity]]</f>
        <v>71331.900000000009</v>
      </c>
    </row>
    <row r="54" spans="1:14" x14ac:dyDescent="0.25">
      <c r="A54" t="s">
        <v>123</v>
      </c>
      <c r="B54" t="s">
        <v>124</v>
      </c>
      <c r="C54" t="s">
        <v>34</v>
      </c>
      <c r="D54">
        <v>188</v>
      </c>
      <c r="E54">
        <v>101</v>
      </c>
      <c r="F54" s="7">
        <v>212.79</v>
      </c>
      <c r="G54" t="s">
        <v>13</v>
      </c>
      <c r="H54" s="3">
        <v>45291</v>
      </c>
      <c r="I54" s="3">
        <v>45472</v>
      </c>
      <c r="J54" t="s">
        <v>14</v>
      </c>
      <c r="K54" t="str">
        <f>IF(InventoryData[[#This Row],[Stock Quantity]] &lt; InventoryData[[#This Row],[Reorder Level]], "Below Reorder", "Sufficient")</f>
        <v>Sufficient</v>
      </c>
      <c r="L54" s="7">
        <f>InventoryData[[#This Row],[Stock Quantity]] * InventoryData[[#This Row],[Unit Price]]</f>
        <v>40004.519999999997</v>
      </c>
      <c r="M54" t="str">
        <f>TEXT(InventoryData[[#This Row],[Last Ordered Date]],"mmm-yyyy")</f>
        <v>Dec-2023</v>
      </c>
      <c r="N54" s="5">
        <f>InventoryData[[#This Row],[Unit Price]]*InventoryData[[#This Row],[Stock Quantity]]</f>
        <v>40004.519999999997</v>
      </c>
    </row>
    <row r="55" spans="1:14" x14ac:dyDescent="0.25">
      <c r="A55" t="s">
        <v>125</v>
      </c>
      <c r="B55" t="s">
        <v>126</v>
      </c>
      <c r="C55" t="s">
        <v>17</v>
      </c>
      <c r="D55">
        <v>72</v>
      </c>
      <c r="E55">
        <v>177</v>
      </c>
      <c r="F55" s="7">
        <v>131.82</v>
      </c>
      <c r="G55" t="s">
        <v>18</v>
      </c>
      <c r="H55" s="3">
        <v>45298</v>
      </c>
      <c r="I55" s="3">
        <v>45479</v>
      </c>
      <c r="J55" t="s">
        <v>24</v>
      </c>
      <c r="K55" t="str">
        <f>IF(InventoryData[[#This Row],[Stock Quantity]] &lt; InventoryData[[#This Row],[Reorder Level]], "Below Reorder", "Sufficient")</f>
        <v>Below Reorder</v>
      </c>
      <c r="L55" s="7">
        <f>InventoryData[[#This Row],[Stock Quantity]] * InventoryData[[#This Row],[Unit Price]]</f>
        <v>9491.0399999999991</v>
      </c>
      <c r="M55" t="str">
        <f>TEXT(InventoryData[[#This Row],[Last Ordered Date]],"mmm-yyyy")</f>
        <v>Jan-2024</v>
      </c>
      <c r="N55" s="5">
        <f>InventoryData[[#This Row],[Unit Price]]*InventoryData[[#This Row],[Stock Quantity]]</f>
        <v>9491.0399999999991</v>
      </c>
    </row>
    <row r="56" spans="1:14" x14ac:dyDescent="0.25">
      <c r="A56" t="s">
        <v>127</v>
      </c>
      <c r="B56" t="s">
        <v>128</v>
      </c>
      <c r="C56" t="s">
        <v>34</v>
      </c>
      <c r="D56">
        <v>361</v>
      </c>
      <c r="E56">
        <v>88</v>
      </c>
      <c r="F56" s="7">
        <v>307.7</v>
      </c>
      <c r="G56" t="s">
        <v>27</v>
      </c>
      <c r="H56" s="3">
        <v>45305</v>
      </c>
      <c r="I56" s="3">
        <v>45486</v>
      </c>
      <c r="J56" t="s">
        <v>14</v>
      </c>
      <c r="K56" t="str">
        <f>IF(InventoryData[[#This Row],[Stock Quantity]] &lt; InventoryData[[#This Row],[Reorder Level]], "Below Reorder", "Sufficient")</f>
        <v>Sufficient</v>
      </c>
      <c r="L56" s="7">
        <f>InventoryData[[#This Row],[Stock Quantity]] * InventoryData[[#This Row],[Unit Price]]</f>
        <v>111079.7</v>
      </c>
      <c r="M56" t="str">
        <f>TEXT(InventoryData[[#This Row],[Last Ordered Date]],"mmm-yyyy")</f>
        <v>Jan-2024</v>
      </c>
      <c r="N56" s="5">
        <f>InventoryData[[#This Row],[Unit Price]]*InventoryData[[#This Row],[Stock Quantity]]</f>
        <v>111079.7</v>
      </c>
    </row>
    <row r="57" spans="1:14" x14ac:dyDescent="0.25">
      <c r="A57" t="s">
        <v>129</v>
      </c>
      <c r="B57" t="s">
        <v>130</v>
      </c>
      <c r="C57" t="s">
        <v>12</v>
      </c>
      <c r="D57">
        <v>240</v>
      </c>
      <c r="E57">
        <v>131</v>
      </c>
      <c r="F57" s="7">
        <v>45.39</v>
      </c>
      <c r="G57" t="s">
        <v>13</v>
      </c>
      <c r="H57" s="3">
        <v>45312</v>
      </c>
      <c r="I57" s="3">
        <v>45493</v>
      </c>
      <c r="J57" t="s">
        <v>24</v>
      </c>
      <c r="K57" t="str">
        <f>IF(InventoryData[[#This Row],[Stock Quantity]] &lt; InventoryData[[#This Row],[Reorder Level]], "Below Reorder", "Sufficient")</f>
        <v>Sufficient</v>
      </c>
      <c r="L57" s="7">
        <f>InventoryData[[#This Row],[Stock Quantity]] * InventoryData[[#This Row],[Unit Price]]</f>
        <v>10893.6</v>
      </c>
      <c r="M57" t="str">
        <f>TEXT(InventoryData[[#This Row],[Last Ordered Date]],"mmm-yyyy")</f>
        <v>Jan-2024</v>
      </c>
      <c r="N57" s="5">
        <f>InventoryData[[#This Row],[Unit Price]]*InventoryData[[#This Row],[Stock Quantity]]</f>
        <v>10893.6</v>
      </c>
    </row>
    <row r="58" spans="1:14" x14ac:dyDescent="0.25">
      <c r="A58" t="s">
        <v>131</v>
      </c>
      <c r="B58" t="s">
        <v>132</v>
      </c>
      <c r="C58" t="s">
        <v>12</v>
      </c>
      <c r="D58">
        <v>250</v>
      </c>
      <c r="E58">
        <v>153</v>
      </c>
      <c r="F58" s="7">
        <v>7.57</v>
      </c>
      <c r="G58" t="s">
        <v>18</v>
      </c>
      <c r="H58" s="3">
        <v>45319</v>
      </c>
      <c r="I58" s="3">
        <v>45500</v>
      </c>
      <c r="J58" t="s">
        <v>14</v>
      </c>
      <c r="K58" t="str">
        <f>IF(InventoryData[[#This Row],[Stock Quantity]] &lt; InventoryData[[#This Row],[Reorder Level]], "Below Reorder", "Sufficient")</f>
        <v>Sufficient</v>
      </c>
      <c r="L58" s="7">
        <f>InventoryData[[#This Row],[Stock Quantity]] * InventoryData[[#This Row],[Unit Price]]</f>
        <v>1892.5</v>
      </c>
      <c r="M58" t="str">
        <f>TEXT(InventoryData[[#This Row],[Last Ordered Date]],"mmm-yyyy")</f>
        <v>Jan-2024</v>
      </c>
      <c r="N58" s="5">
        <f>InventoryData[[#This Row],[Unit Price]]*InventoryData[[#This Row],[Stock Quantity]]</f>
        <v>1892.5</v>
      </c>
    </row>
    <row r="59" spans="1:14" x14ac:dyDescent="0.25">
      <c r="A59" t="s">
        <v>133</v>
      </c>
      <c r="B59" t="s">
        <v>134</v>
      </c>
      <c r="C59" t="s">
        <v>17</v>
      </c>
      <c r="D59">
        <v>61</v>
      </c>
      <c r="E59">
        <v>178</v>
      </c>
      <c r="F59" s="7">
        <v>315.81</v>
      </c>
      <c r="G59" t="s">
        <v>13</v>
      </c>
      <c r="H59" s="3">
        <v>45326</v>
      </c>
      <c r="I59" s="3">
        <v>45507</v>
      </c>
      <c r="J59" t="s">
        <v>19</v>
      </c>
      <c r="K59" t="str">
        <f>IF(InventoryData[[#This Row],[Stock Quantity]] &lt; InventoryData[[#This Row],[Reorder Level]], "Below Reorder", "Sufficient")</f>
        <v>Below Reorder</v>
      </c>
      <c r="L59" s="7">
        <f>InventoryData[[#This Row],[Stock Quantity]] * InventoryData[[#This Row],[Unit Price]]</f>
        <v>19264.41</v>
      </c>
      <c r="M59" t="str">
        <f>TEXT(InventoryData[[#This Row],[Last Ordered Date]],"mmm-yyyy")</f>
        <v>Feb-2024</v>
      </c>
      <c r="N59" s="5">
        <f>InventoryData[[#This Row],[Unit Price]]*InventoryData[[#This Row],[Stock Quantity]]</f>
        <v>19264.41</v>
      </c>
    </row>
    <row r="60" spans="1:14" x14ac:dyDescent="0.25">
      <c r="A60" t="s">
        <v>135</v>
      </c>
      <c r="B60" t="s">
        <v>136</v>
      </c>
      <c r="C60" t="s">
        <v>12</v>
      </c>
      <c r="D60">
        <v>105</v>
      </c>
      <c r="E60">
        <v>60</v>
      </c>
      <c r="F60" s="7">
        <v>101.17</v>
      </c>
      <c r="G60" t="s">
        <v>27</v>
      </c>
      <c r="H60" s="3">
        <v>45333</v>
      </c>
      <c r="I60" s="3">
        <v>45514</v>
      </c>
      <c r="J60" t="s">
        <v>24</v>
      </c>
      <c r="K60" t="str">
        <f>IF(InventoryData[[#This Row],[Stock Quantity]] &lt; InventoryData[[#This Row],[Reorder Level]], "Below Reorder", "Sufficient")</f>
        <v>Sufficient</v>
      </c>
      <c r="L60" s="7">
        <f>InventoryData[[#This Row],[Stock Quantity]] * InventoryData[[#This Row],[Unit Price]]</f>
        <v>10622.85</v>
      </c>
      <c r="M60" t="str">
        <f>TEXT(InventoryData[[#This Row],[Last Ordered Date]],"mmm-yyyy")</f>
        <v>Feb-2024</v>
      </c>
      <c r="N60" s="5">
        <f>InventoryData[[#This Row],[Unit Price]]*InventoryData[[#This Row],[Stock Quantity]]</f>
        <v>10622.85</v>
      </c>
    </row>
    <row r="61" spans="1:14" x14ac:dyDescent="0.25">
      <c r="A61" t="s">
        <v>137</v>
      </c>
      <c r="B61" t="s">
        <v>138</v>
      </c>
      <c r="C61" t="s">
        <v>12</v>
      </c>
      <c r="D61">
        <v>397</v>
      </c>
      <c r="E61">
        <v>91</v>
      </c>
      <c r="F61" s="7">
        <v>40.119999999999997</v>
      </c>
      <c r="G61" t="s">
        <v>27</v>
      </c>
      <c r="H61" s="3">
        <v>45340</v>
      </c>
      <c r="I61" s="3">
        <v>45521</v>
      </c>
      <c r="J61" t="s">
        <v>24</v>
      </c>
      <c r="K61" t="str">
        <f>IF(InventoryData[[#This Row],[Stock Quantity]] &lt; InventoryData[[#This Row],[Reorder Level]], "Below Reorder", "Sufficient")</f>
        <v>Sufficient</v>
      </c>
      <c r="L61" s="7">
        <f>InventoryData[[#This Row],[Stock Quantity]] * InventoryData[[#This Row],[Unit Price]]</f>
        <v>15927.64</v>
      </c>
      <c r="M61" t="str">
        <f>TEXT(InventoryData[[#This Row],[Last Ordered Date]],"mmm-yyyy")</f>
        <v>Feb-2024</v>
      </c>
      <c r="N61" s="5">
        <f>InventoryData[[#This Row],[Unit Price]]*InventoryData[[#This Row],[Stock Quantity]]</f>
        <v>15927.64</v>
      </c>
    </row>
    <row r="62" spans="1:14" x14ac:dyDescent="0.25">
      <c r="A62" t="s">
        <v>139</v>
      </c>
      <c r="B62" t="s">
        <v>140</v>
      </c>
      <c r="C62" t="s">
        <v>34</v>
      </c>
      <c r="D62">
        <v>231</v>
      </c>
      <c r="E62">
        <v>148</v>
      </c>
      <c r="F62" s="7">
        <v>201.41</v>
      </c>
      <c r="G62" t="s">
        <v>27</v>
      </c>
      <c r="H62" s="3">
        <v>45347</v>
      </c>
      <c r="I62" s="3">
        <v>45528</v>
      </c>
      <c r="J62" t="s">
        <v>19</v>
      </c>
      <c r="K62" t="str">
        <f>IF(InventoryData[[#This Row],[Stock Quantity]] &lt; InventoryData[[#This Row],[Reorder Level]], "Below Reorder", "Sufficient")</f>
        <v>Sufficient</v>
      </c>
      <c r="L62" s="7">
        <f>InventoryData[[#This Row],[Stock Quantity]] * InventoryData[[#This Row],[Unit Price]]</f>
        <v>46525.71</v>
      </c>
      <c r="M62" t="str">
        <f>TEXT(InventoryData[[#This Row],[Last Ordered Date]],"mmm-yyyy")</f>
        <v>Feb-2024</v>
      </c>
      <c r="N62" s="5">
        <f>InventoryData[[#This Row],[Unit Price]]*InventoryData[[#This Row],[Stock Quantity]]</f>
        <v>46525.71</v>
      </c>
    </row>
    <row r="63" spans="1:14" x14ac:dyDescent="0.25">
      <c r="A63" t="s">
        <v>141</v>
      </c>
      <c r="B63" t="s">
        <v>142</v>
      </c>
      <c r="C63" t="s">
        <v>17</v>
      </c>
      <c r="D63">
        <v>494</v>
      </c>
      <c r="E63">
        <v>56</v>
      </c>
      <c r="F63" s="7">
        <v>30.13</v>
      </c>
      <c r="G63" t="s">
        <v>13</v>
      </c>
      <c r="H63" s="3">
        <v>45354</v>
      </c>
      <c r="I63" s="3">
        <v>45535</v>
      </c>
      <c r="J63" t="s">
        <v>24</v>
      </c>
      <c r="K63" t="str">
        <f>IF(InventoryData[[#This Row],[Stock Quantity]] &lt; InventoryData[[#This Row],[Reorder Level]], "Below Reorder", "Sufficient")</f>
        <v>Sufficient</v>
      </c>
      <c r="L63" s="7">
        <f>InventoryData[[#This Row],[Stock Quantity]] * InventoryData[[#This Row],[Unit Price]]</f>
        <v>14884.22</v>
      </c>
      <c r="M63" t="str">
        <f>TEXT(InventoryData[[#This Row],[Last Ordered Date]],"mmm-yyyy")</f>
        <v>Mar-2024</v>
      </c>
      <c r="N63" s="5">
        <f>InventoryData[[#This Row],[Unit Price]]*InventoryData[[#This Row],[Stock Quantity]]</f>
        <v>14884.22</v>
      </c>
    </row>
    <row r="64" spans="1:14" x14ac:dyDescent="0.25">
      <c r="A64" t="s">
        <v>143</v>
      </c>
      <c r="B64" t="s">
        <v>144</v>
      </c>
      <c r="C64" t="s">
        <v>34</v>
      </c>
      <c r="D64">
        <v>416</v>
      </c>
      <c r="E64">
        <v>193</v>
      </c>
      <c r="F64" s="7">
        <v>443.88</v>
      </c>
      <c r="G64" t="s">
        <v>13</v>
      </c>
      <c r="H64" s="3">
        <v>45361</v>
      </c>
      <c r="I64" s="3">
        <v>45542</v>
      </c>
      <c r="J64" t="s">
        <v>24</v>
      </c>
      <c r="K64" t="str">
        <f>IF(InventoryData[[#This Row],[Stock Quantity]] &lt; InventoryData[[#This Row],[Reorder Level]], "Below Reorder", "Sufficient")</f>
        <v>Sufficient</v>
      </c>
      <c r="L64" s="7">
        <f>InventoryData[[#This Row],[Stock Quantity]] * InventoryData[[#This Row],[Unit Price]]</f>
        <v>184654.07999999999</v>
      </c>
      <c r="M64" t="str">
        <f>TEXT(InventoryData[[#This Row],[Last Ordered Date]],"mmm-yyyy")</f>
        <v>Mar-2024</v>
      </c>
      <c r="N64" s="5">
        <f>InventoryData[[#This Row],[Unit Price]]*InventoryData[[#This Row],[Stock Quantity]]</f>
        <v>184654.07999999999</v>
      </c>
    </row>
    <row r="65" spans="1:15" x14ac:dyDescent="0.25">
      <c r="A65" t="s">
        <v>145</v>
      </c>
      <c r="B65" t="s">
        <v>146</v>
      </c>
      <c r="C65" t="s">
        <v>34</v>
      </c>
      <c r="D65">
        <v>240</v>
      </c>
      <c r="E65">
        <v>139</v>
      </c>
      <c r="F65" s="7">
        <v>18.670000000000002</v>
      </c>
      <c r="G65" t="s">
        <v>27</v>
      </c>
      <c r="H65" s="3">
        <v>45368</v>
      </c>
      <c r="I65" s="3">
        <v>45549</v>
      </c>
      <c r="J65" t="s">
        <v>14</v>
      </c>
      <c r="K65" t="str">
        <f>IF(InventoryData[[#This Row],[Stock Quantity]] &lt; InventoryData[[#This Row],[Reorder Level]], "Below Reorder", "Sufficient")</f>
        <v>Sufficient</v>
      </c>
      <c r="L65" s="7">
        <f>InventoryData[[#This Row],[Stock Quantity]] * InventoryData[[#This Row],[Unit Price]]</f>
        <v>4480.8</v>
      </c>
      <c r="M65" t="str">
        <f>TEXT(InventoryData[[#This Row],[Last Ordered Date]],"mmm-yyyy")</f>
        <v>Mar-2024</v>
      </c>
      <c r="N65" s="5">
        <f>InventoryData[[#This Row],[Unit Price]]*InventoryData[[#This Row],[Stock Quantity]]</f>
        <v>4480.8</v>
      </c>
    </row>
    <row r="66" spans="1:15" x14ac:dyDescent="0.25">
      <c r="A66" t="s">
        <v>147</v>
      </c>
      <c r="B66" t="s">
        <v>148</v>
      </c>
      <c r="C66" t="s">
        <v>34</v>
      </c>
      <c r="D66">
        <v>246</v>
      </c>
      <c r="E66">
        <v>161</v>
      </c>
      <c r="F66" s="7">
        <v>291.54000000000002</v>
      </c>
      <c r="G66" t="s">
        <v>13</v>
      </c>
      <c r="H66" s="3">
        <v>45375</v>
      </c>
      <c r="I66" s="3">
        <v>45556</v>
      </c>
      <c r="J66" t="s">
        <v>24</v>
      </c>
      <c r="K66" t="str">
        <f>IF(InventoryData[[#This Row],[Stock Quantity]] &lt; InventoryData[[#This Row],[Reorder Level]], "Below Reorder", "Sufficient")</f>
        <v>Sufficient</v>
      </c>
      <c r="L66" s="7">
        <f>InventoryData[[#This Row],[Stock Quantity]] * InventoryData[[#This Row],[Unit Price]]</f>
        <v>71718.840000000011</v>
      </c>
      <c r="M66" t="str">
        <f>TEXT(InventoryData[[#This Row],[Last Ordered Date]],"mmm-yyyy")</f>
        <v>Mar-2024</v>
      </c>
      <c r="N66" s="5">
        <f>InventoryData[[#This Row],[Unit Price]]*InventoryData[[#This Row],[Stock Quantity]]</f>
        <v>71718.840000000011</v>
      </c>
    </row>
    <row r="67" spans="1:15" x14ac:dyDescent="0.25">
      <c r="A67" t="s">
        <v>149</v>
      </c>
      <c r="B67" t="s">
        <v>150</v>
      </c>
      <c r="C67" t="s">
        <v>34</v>
      </c>
      <c r="D67">
        <v>152</v>
      </c>
      <c r="E67">
        <v>109</v>
      </c>
      <c r="F67" s="7">
        <v>222.04</v>
      </c>
      <c r="G67" t="s">
        <v>27</v>
      </c>
      <c r="H67" s="3">
        <v>45382</v>
      </c>
      <c r="I67" s="3">
        <v>45563</v>
      </c>
      <c r="J67" t="s">
        <v>19</v>
      </c>
      <c r="K67" t="str">
        <f>IF(InventoryData[[#This Row],[Stock Quantity]] &lt; InventoryData[[#This Row],[Reorder Level]], "Below Reorder", "Sufficient")</f>
        <v>Sufficient</v>
      </c>
      <c r="L67" s="7">
        <f>InventoryData[[#This Row],[Stock Quantity]] * InventoryData[[#This Row],[Unit Price]]</f>
        <v>33750.080000000002</v>
      </c>
      <c r="M67" t="str">
        <f>TEXT(InventoryData[[#This Row],[Last Ordered Date]],"mmm-yyyy")</f>
        <v>Mar-2024</v>
      </c>
      <c r="N67" s="5">
        <f>InventoryData[[#This Row],[Unit Price]]*InventoryData[[#This Row],[Stock Quantity]]</f>
        <v>33750.080000000002</v>
      </c>
    </row>
    <row r="68" spans="1:15" x14ac:dyDescent="0.25">
      <c r="A68" t="s">
        <v>151</v>
      </c>
      <c r="B68" t="s">
        <v>152</v>
      </c>
      <c r="C68" t="s">
        <v>34</v>
      </c>
      <c r="D68">
        <v>180</v>
      </c>
      <c r="E68">
        <v>162</v>
      </c>
      <c r="F68" s="7">
        <v>337.65</v>
      </c>
      <c r="G68" t="s">
        <v>27</v>
      </c>
      <c r="H68" s="3">
        <v>45389</v>
      </c>
      <c r="I68" s="3">
        <v>45570</v>
      </c>
      <c r="J68" t="s">
        <v>14</v>
      </c>
      <c r="K68" t="str">
        <f>IF(InventoryData[[#This Row],[Stock Quantity]] &lt; InventoryData[[#This Row],[Reorder Level]], "Below Reorder", "Sufficient")</f>
        <v>Sufficient</v>
      </c>
      <c r="L68" s="7">
        <f>InventoryData[[#This Row],[Stock Quantity]] * InventoryData[[#This Row],[Unit Price]]</f>
        <v>60776.999999999993</v>
      </c>
      <c r="M68" t="str">
        <f>TEXT(InventoryData[[#This Row],[Last Ordered Date]],"mmm-yyyy")</f>
        <v>Apr-2024</v>
      </c>
      <c r="N68" s="5">
        <f>InventoryData[[#This Row],[Unit Price]]*InventoryData[[#This Row],[Stock Quantity]]</f>
        <v>60776.999999999993</v>
      </c>
    </row>
    <row r="69" spans="1:15" x14ac:dyDescent="0.25">
      <c r="A69" t="s">
        <v>153</v>
      </c>
      <c r="B69" t="s">
        <v>154</v>
      </c>
      <c r="C69" t="s">
        <v>34</v>
      </c>
      <c r="D69">
        <v>38</v>
      </c>
      <c r="E69">
        <v>51</v>
      </c>
      <c r="F69" s="7">
        <v>167.44</v>
      </c>
      <c r="G69" t="s">
        <v>18</v>
      </c>
      <c r="H69" s="3">
        <v>45396</v>
      </c>
      <c r="I69" s="3">
        <v>45577</v>
      </c>
      <c r="J69" t="s">
        <v>14</v>
      </c>
      <c r="K69" t="str">
        <f>IF(InventoryData[[#This Row],[Stock Quantity]] &lt; InventoryData[[#This Row],[Reorder Level]], "Below Reorder", "Sufficient")</f>
        <v>Below Reorder</v>
      </c>
      <c r="L69" s="7">
        <f>InventoryData[[#This Row],[Stock Quantity]] * InventoryData[[#This Row],[Unit Price]]</f>
        <v>6362.72</v>
      </c>
      <c r="M69" t="str">
        <f>TEXT(InventoryData[[#This Row],[Last Ordered Date]],"mmm-yyyy")</f>
        <v>Apr-2024</v>
      </c>
      <c r="N69" s="5">
        <f>InventoryData[[#This Row],[Unit Price]]*InventoryData[[#This Row],[Stock Quantity]]</f>
        <v>6362.72</v>
      </c>
    </row>
    <row r="70" spans="1:15" x14ac:dyDescent="0.25">
      <c r="A70" t="s">
        <v>155</v>
      </c>
      <c r="B70" t="s">
        <v>156</v>
      </c>
      <c r="C70" t="s">
        <v>34</v>
      </c>
      <c r="D70">
        <v>45</v>
      </c>
      <c r="E70">
        <v>178</v>
      </c>
      <c r="F70" s="7">
        <v>81.75</v>
      </c>
      <c r="G70" t="s">
        <v>13</v>
      </c>
      <c r="H70" s="3">
        <v>45403</v>
      </c>
      <c r="I70" s="3">
        <v>45584</v>
      </c>
      <c r="J70" t="s">
        <v>19</v>
      </c>
      <c r="K70" t="str">
        <f>IF(InventoryData[[#This Row],[Stock Quantity]] &lt; InventoryData[[#This Row],[Reorder Level]], "Below Reorder", "Sufficient")</f>
        <v>Below Reorder</v>
      </c>
      <c r="L70" s="7">
        <f>InventoryData[[#This Row],[Stock Quantity]] * InventoryData[[#This Row],[Unit Price]]</f>
        <v>3678.75</v>
      </c>
      <c r="M70" t="str">
        <f>TEXT(InventoryData[[#This Row],[Last Ordered Date]],"mmm-yyyy")</f>
        <v>Apr-2024</v>
      </c>
      <c r="N70" s="5">
        <f>InventoryData[[#This Row],[Unit Price]]*InventoryData[[#This Row],[Stock Quantity]]</f>
        <v>3678.75</v>
      </c>
    </row>
    <row r="71" spans="1:15" x14ac:dyDescent="0.25">
      <c r="A71" t="s">
        <v>157</v>
      </c>
      <c r="B71" t="s">
        <v>158</v>
      </c>
      <c r="C71" t="s">
        <v>17</v>
      </c>
      <c r="D71">
        <v>22</v>
      </c>
      <c r="E71">
        <v>97</v>
      </c>
      <c r="F71" s="7">
        <v>491.01</v>
      </c>
      <c r="G71" t="s">
        <v>27</v>
      </c>
      <c r="H71" s="3">
        <v>45410</v>
      </c>
      <c r="I71" s="3">
        <v>45591</v>
      </c>
      <c r="J71" t="s">
        <v>19</v>
      </c>
      <c r="K71" t="str">
        <f>IF(InventoryData[[#This Row],[Stock Quantity]] &lt; InventoryData[[#This Row],[Reorder Level]], "Below Reorder", "Sufficient")</f>
        <v>Below Reorder</v>
      </c>
      <c r="L71" s="7">
        <f>InventoryData[[#This Row],[Stock Quantity]] * InventoryData[[#This Row],[Unit Price]]</f>
        <v>10802.22</v>
      </c>
      <c r="M71" t="str">
        <f>TEXT(InventoryData[[#This Row],[Last Ordered Date]],"mmm-yyyy")</f>
        <v>Apr-2024</v>
      </c>
      <c r="N71" s="5">
        <f>InventoryData[[#This Row],[Unit Price]]*InventoryData[[#This Row],[Stock Quantity]]</f>
        <v>10802.22</v>
      </c>
    </row>
    <row r="72" spans="1:15" x14ac:dyDescent="0.25">
      <c r="A72" t="s">
        <v>159</v>
      </c>
      <c r="B72" t="s">
        <v>160</v>
      </c>
      <c r="C72" t="s">
        <v>12</v>
      </c>
      <c r="D72">
        <v>169</v>
      </c>
      <c r="E72">
        <v>189</v>
      </c>
      <c r="F72" s="7">
        <v>420.27</v>
      </c>
      <c r="G72" t="s">
        <v>27</v>
      </c>
      <c r="H72" s="3">
        <v>45417</v>
      </c>
      <c r="I72" s="3">
        <v>45598</v>
      </c>
      <c r="J72" t="s">
        <v>14</v>
      </c>
      <c r="K72" t="str">
        <f>IF(InventoryData[[#This Row],[Stock Quantity]] &lt; InventoryData[[#This Row],[Reorder Level]], "Below Reorder", "Sufficient")</f>
        <v>Below Reorder</v>
      </c>
      <c r="L72" s="7">
        <f>InventoryData[[#This Row],[Stock Quantity]] * InventoryData[[#This Row],[Unit Price]]</f>
        <v>71025.62999999999</v>
      </c>
      <c r="M72" t="str">
        <f>TEXT(InventoryData[[#This Row],[Last Ordered Date]],"mmm-yyyy")</f>
        <v>May-2024</v>
      </c>
      <c r="N72" s="5">
        <f>InventoryData[[#This Row],[Unit Price]]*InventoryData[[#This Row],[Stock Quantity]]</f>
        <v>71025.62999999999</v>
      </c>
    </row>
    <row r="73" spans="1:15" x14ac:dyDescent="0.25">
      <c r="A73" t="s">
        <v>161</v>
      </c>
      <c r="B73" t="s">
        <v>162</v>
      </c>
      <c r="C73" t="s">
        <v>34</v>
      </c>
      <c r="D73">
        <v>336</v>
      </c>
      <c r="E73">
        <v>86</v>
      </c>
      <c r="F73" s="7">
        <v>430.9</v>
      </c>
      <c r="G73" t="s">
        <v>13</v>
      </c>
      <c r="H73" s="3">
        <v>45424</v>
      </c>
      <c r="I73" s="3">
        <v>45605</v>
      </c>
      <c r="J73" t="s">
        <v>24</v>
      </c>
      <c r="K73" t="str">
        <f>IF(InventoryData[[#This Row],[Stock Quantity]] &lt; InventoryData[[#This Row],[Reorder Level]], "Below Reorder", "Sufficient")</f>
        <v>Sufficient</v>
      </c>
      <c r="L73" s="7">
        <f>InventoryData[[#This Row],[Stock Quantity]] * InventoryData[[#This Row],[Unit Price]]</f>
        <v>144782.39999999999</v>
      </c>
      <c r="M73" t="str">
        <f>TEXT(InventoryData[[#This Row],[Last Ordered Date]],"mmm-yyyy")</f>
        <v>May-2024</v>
      </c>
      <c r="N73" s="5">
        <f>InventoryData[[#This Row],[Unit Price]]*InventoryData[[#This Row],[Stock Quantity]]</f>
        <v>144782.39999999999</v>
      </c>
    </row>
    <row r="74" spans="1:15" x14ac:dyDescent="0.25">
      <c r="A74" t="s">
        <v>163</v>
      </c>
      <c r="B74" t="s">
        <v>164</v>
      </c>
      <c r="C74" t="s">
        <v>34</v>
      </c>
      <c r="D74">
        <v>196</v>
      </c>
      <c r="E74">
        <v>58</v>
      </c>
      <c r="F74" s="7">
        <v>128.87</v>
      </c>
      <c r="G74" t="s">
        <v>18</v>
      </c>
      <c r="H74" s="3">
        <v>45431</v>
      </c>
      <c r="I74" s="3">
        <v>45612</v>
      </c>
      <c r="J74" t="s">
        <v>14</v>
      </c>
      <c r="K74" t="str">
        <f>IF(InventoryData[[#This Row],[Stock Quantity]] &lt; InventoryData[[#This Row],[Reorder Level]], "Below Reorder", "Sufficient")</f>
        <v>Sufficient</v>
      </c>
      <c r="L74" s="7">
        <f>InventoryData[[#This Row],[Stock Quantity]] * InventoryData[[#This Row],[Unit Price]]</f>
        <v>25258.52</v>
      </c>
      <c r="M74" t="str">
        <f>TEXT(InventoryData[[#This Row],[Last Ordered Date]],"mmm-yyyy")</f>
        <v>May-2024</v>
      </c>
      <c r="N74" s="5">
        <f>InventoryData[[#This Row],[Unit Price]]*InventoryData[[#This Row],[Stock Quantity]]</f>
        <v>25258.52</v>
      </c>
    </row>
    <row r="75" spans="1:15" x14ac:dyDescent="0.25">
      <c r="A75" t="s">
        <v>165</v>
      </c>
      <c r="B75" t="s">
        <v>166</v>
      </c>
      <c r="C75" t="s">
        <v>34</v>
      </c>
      <c r="D75">
        <v>252</v>
      </c>
      <c r="E75">
        <v>148</v>
      </c>
      <c r="F75" s="7">
        <v>24.22</v>
      </c>
      <c r="G75" t="s">
        <v>18</v>
      </c>
      <c r="H75" s="3">
        <v>45438</v>
      </c>
      <c r="I75" s="3">
        <v>45619</v>
      </c>
      <c r="J75" t="s">
        <v>19</v>
      </c>
      <c r="K75" t="str">
        <f>IF(InventoryData[[#This Row],[Stock Quantity]] &lt; InventoryData[[#This Row],[Reorder Level]], "Below Reorder", "Sufficient")</f>
        <v>Sufficient</v>
      </c>
      <c r="L75" s="7">
        <f>InventoryData[[#This Row],[Stock Quantity]] * InventoryData[[#This Row],[Unit Price]]</f>
        <v>6103.44</v>
      </c>
      <c r="M75" t="str">
        <f>TEXT(InventoryData[[#This Row],[Last Ordered Date]],"mmm-yyyy")</f>
        <v>May-2024</v>
      </c>
      <c r="N75" s="5">
        <f>InventoryData[[#This Row],[Unit Price]]*InventoryData[[#This Row],[Stock Quantity]]</f>
        <v>6103.44</v>
      </c>
    </row>
    <row r="76" spans="1:15" x14ac:dyDescent="0.25">
      <c r="A76" t="s">
        <v>167</v>
      </c>
      <c r="B76" t="s">
        <v>168</v>
      </c>
      <c r="C76" t="s">
        <v>34</v>
      </c>
      <c r="D76">
        <v>95</v>
      </c>
      <c r="E76">
        <v>196</v>
      </c>
      <c r="F76" s="7">
        <v>155.12</v>
      </c>
      <c r="G76" t="s">
        <v>27</v>
      </c>
      <c r="H76" s="3">
        <v>45445</v>
      </c>
      <c r="I76" s="3">
        <v>45626</v>
      </c>
      <c r="J76" t="s">
        <v>14</v>
      </c>
      <c r="K76" t="str">
        <f>IF(InventoryData[[#This Row],[Stock Quantity]] &lt; InventoryData[[#This Row],[Reorder Level]], "Below Reorder", "Sufficient")</f>
        <v>Below Reorder</v>
      </c>
      <c r="L76" s="7">
        <f>InventoryData[[#This Row],[Stock Quantity]] * InventoryData[[#This Row],[Unit Price]]</f>
        <v>14736.4</v>
      </c>
      <c r="M76" t="str">
        <f>TEXT(InventoryData[[#This Row],[Last Ordered Date]],"mmm-yyyy")</f>
        <v>Jun-2024</v>
      </c>
      <c r="N76" s="5">
        <f>InventoryData[[#This Row],[Unit Price]]*InventoryData[[#This Row],[Stock Quantity]]</f>
        <v>14736.4</v>
      </c>
    </row>
    <row r="77" spans="1:15" ht="14.4" x14ac:dyDescent="0.3">
      <c r="A77" t="s">
        <v>169</v>
      </c>
      <c r="B77" t="s">
        <v>170</v>
      </c>
      <c r="C77" t="s">
        <v>34</v>
      </c>
      <c r="D77">
        <v>293</v>
      </c>
      <c r="E77">
        <v>97</v>
      </c>
      <c r="F77" s="7">
        <v>270.86</v>
      </c>
      <c r="G77" t="s">
        <v>13</v>
      </c>
      <c r="H77" s="3">
        <v>45452</v>
      </c>
      <c r="I77" s="3">
        <v>45633</v>
      </c>
      <c r="J77" t="s">
        <v>19</v>
      </c>
      <c r="K77" t="str">
        <f>IF(InventoryData[[#This Row],[Stock Quantity]] &lt; InventoryData[[#This Row],[Reorder Level]], "Below Reorder", "Sufficient")</f>
        <v>Sufficient</v>
      </c>
      <c r="L77" s="7">
        <f>InventoryData[[#This Row],[Stock Quantity]] * InventoryData[[#This Row],[Unit Price]]</f>
        <v>79361.98000000001</v>
      </c>
      <c r="M77" t="str">
        <f>TEXT(InventoryData[[#This Row],[Last Ordered Date]],"mmm-yyyy")</f>
        <v>Jun-2024</v>
      </c>
      <c r="N77" s="5">
        <f>InventoryData[[#This Row],[Unit Price]]*InventoryData[[#This Row],[Stock Quantity]]</f>
        <v>79361.98000000001</v>
      </c>
      <c r="O77" s="4"/>
    </row>
    <row r="78" spans="1:15" ht="14.4" x14ac:dyDescent="0.3">
      <c r="A78" t="s">
        <v>171</v>
      </c>
      <c r="B78" t="s">
        <v>172</v>
      </c>
      <c r="C78" t="s">
        <v>34</v>
      </c>
      <c r="D78">
        <v>75</v>
      </c>
      <c r="E78">
        <v>180</v>
      </c>
      <c r="F78" s="7">
        <v>166.69</v>
      </c>
      <c r="G78" t="s">
        <v>18</v>
      </c>
      <c r="H78" s="3">
        <v>45459</v>
      </c>
      <c r="I78" s="3">
        <v>45640</v>
      </c>
      <c r="J78" t="s">
        <v>14</v>
      </c>
      <c r="K78" t="str">
        <f>IF(InventoryData[[#This Row],[Stock Quantity]] &lt; InventoryData[[#This Row],[Reorder Level]], "Below Reorder", "Sufficient")</f>
        <v>Below Reorder</v>
      </c>
      <c r="L78" s="7">
        <f>InventoryData[[#This Row],[Stock Quantity]] * InventoryData[[#This Row],[Unit Price]]</f>
        <v>12501.75</v>
      </c>
      <c r="M78" t="str">
        <f>TEXT(InventoryData[[#This Row],[Last Ordered Date]],"mmm-yyyy")</f>
        <v>Jun-2024</v>
      </c>
      <c r="N78" s="5">
        <f>InventoryData[[#This Row],[Unit Price]]*InventoryData[[#This Row],[Stock Quantity]]</f>
        <v>12501.75</v>
      </c>
      <c r="O78" s="4"/>
    </row>
    <row r="79" spans="1:15" ht="14.4" x14ac:dyDescent="0.3">
      <c r="A79" t="s">
        <v>173</v>
      </c>
      <c r="B79" t="s">
        <v>174</v>
      </c>
      <c r="C79" t="s">
        <v>12</v>
      </c>
      <c r="D79">
        <v>179</v>
      </c>
      <c r="E79">
        <v>197</v>
      </c>
      <c r="F79" s="7">
        <v>414.8</v>
      </c>
      <c r="G79" t="s">
        <v>13</v>
      </c>
      <c r="H79" s="3">
        <v>45466</v>
      </c>
      <c r="I79" s="3">
        <v>45647</v>
      </c>
      <c r="J79" t="s">
        <v>24</v>
      </c>
      <c r="K79" t="str">
        <f>IF(InventoryData[[#This Row],[Stock Quantity]] &lt; InventoryData[[#This Row],[Reorder Level]], "Below Reorder", "Sufficient")</f>
        <v>Below Reorder</v>
      </c>
      <c r="L79" s="7">
        <f>InventoryData[[#This Row],[Stock Quantity]] * InventoryData[[#This Row],[Unit Price]]</f>
        <v>74249.2</v>
      </c>
      <c r="M79" t="str">
        <f>TEXT(InventoryData[[#This Row],[Last Ordered Date]],"mmm-yyyy")</f>
        <v>Jun-2024</v>
      </c>
      <c r="N79" s="5">
        <f>InventoryData[[#This Row],[Unit Price]]*InventoryData[[#This Row],[Stock Quantity]]</f>
        <v>74249.2</v>
      </c>
      <c r="O79" s="4"/>
    </row>
    <row r="80" spans="1:15" ht="14.4" x14ac:dyDescent="0.3">
      <c r="A80" t="s">
        <v>175</v>
      </c>
      <c r="B80" t="s">
        <v>176</v>
      </c>
      <c r="C80" t="s">
        <v>12</v>
      </c>
      <c r="D80">
        <v>54</v>
      </c>
      <c r="E80">
        <v>103</v>
      </c>
      <c r="F80" s="7">
        <v>139.41</v>
      </c>
      <c r="G80" t="s">
        <v>13</v>
      </c>
      <c r="H80" s="3">
        <v>45473</v>
      </c>
      <c r="I80" s="3">
        <v>45654</v>
      </c>
      <c r="J80" t="s">
        <v>14</v>
      </c>
      <c r="K80" t="str">
        <f>IF(InventoryData[[#This Row],[Stock Quantity]] &lt; InventoryData[[#This Row],[Reorder Level]], "Below Reorder", "Sufficient")</f>
        <v>Below Reorder</v>
      </c>
      <c r="L80" s="7">
        <f>InventoryData[[#This Row],[Stock Quantity]] * InventoryData[[#This Row],[Unit Price]]</f>
        <v>7528.1399999999994</v>
      </c>
      <c r="M80" t="str">
        <f>TEXT(InventoryData[[#This Row],[Last Ordered Date]],"mmm-yyyy")</f>
        <v>Jun-2024</v>
      </c>
      <c r="N80" s="5">
        <f>InventoryData[[#This Row],[Unit Price]]*InventoryData[[#This Row],[Stock Quantity]]</f>
        <v>7528.1399999999994</v>
      </c>
      <c r="O80" s="4"/>
    </row>
    <row r="81" spans="1:15" ht="14.4" x14ac:dyDescent="0.3">
      <c r="A81" t="s">
        <v>177</v>
      </c>
      <c r="B81" t="s">
        <v>178</v>
      </c>
      <c r="C81" t="s">
        <v>34</v>
      </c>
      <c r="D81">
        <v>71</v>
      </c>
      <c r="E81">
        <v>169</v>
      </c>
      <c r="F81" s="7">
        <v>482.8</v>
      </c>
      <c r="G81" t="s">
        <v>27</v>
      </c>
      <c r="H81" s="3">
        <v>45480</v>
      </c>
      <c r="I81" s="3">
        <v>45661</v>
      </c>
      <c r="J81" t="s">
        <v>14</v>
      </c>
      <c r="K81" t="str">
        <f>IF(InventoryData[[#This Row],[Stock Quantity]] &lt; InventoryData[[#This Row],[Reorder Level]], "Below Reorder", "Sufficient")</f>
        <v>Below Reorder</v>
      </c>
      <c r="L81" s="7">
        <f>InventoryData[[#This Row],[Stock Quantity]] * InventoryData[[#This Row],[Unit Price]]</f>
        <v>34278.800000000003</v>
      </c>
      <c r="M81" t="str">
        <f>TEXT(InventoryData[[#This Row],[Last Ordered Date]],"mmm-yyyy")</f>
        <v>Jul-2024</v>
      </c>
      <c r="N81" s="5">
        <f>InventoryData[[#This Row],[Unit Price]]*InventoryData[[#This Row],[Stock Quantity]]</f>
        <v>34278.800000000003</v>
      </c>
      <c r="O81" s="4"/>
    </row>
    <row r="82" spans="1:15" ht="14.4" x14ac:dyDescent="0.3">
      <c r="A82" t="s">
        <v>179</v>
      </c>
      <c r="B82" t="s">
        <v>180</v>
      </c>
      <c r="C82" t="s">
        <v>12</v>
      </c>
      <c r="D82">
        <v>450</v>
      </c>
      <c r="E82">
        <v>165</v>
      </c>
      <c r="F82" s="7">
        <v>231.35</v>
      </c>
      <c r="G82" t="s">
        <v>18</v>
      </c>
      <c r="H82" s="3">
        <v>45487</v>
      </c>
      <c r="I82" s="3">
        <v>45668</v>
      </c>
      <c r="J82" t="s">
        <v>19</v>
      </c>
      <c r="K82" t="str">
        <f>IF(InventoryData[[#This Row],[Stock Quantity]] &lt; InventoryData[[#This Row],[Reorder Level]], "Below Reorder", "Sufficient")</f>
        <v>Sufficient</v>
      </c>
      <c r="L82" s="7">
        <f>InventoryData[[#This Row],[Stock Quantity]] * InventoryData[[#This Row],[Unit Price]]</f>
        <v>104107.5</v>
      </c>
      <c r="M82" t="str">
        <f>TEXT(InventoryData[[#This Row],[Last Ordered Date]],"mmm-yyyy")</f>
        <v>Jul-2024</v>
      </c>
      <c r="N82" s="5">
        <f>InventoryData[[#This Row],[Unit Price]]*InventoryData[[#This Row],[Stock Quantity]]</f>
        <v>104107.5</v>
      </c>
      <c r="O82" s="4"/>
    </row>
    <row r="83" spans="1:15" ht="14.4" x14ac:dyDescent="0.3">
      <c r="A83" t="s">
        <v>181</v>
      </c>
      <c r="B83" t="s">
        <v>182</v>
      </c>
      <c r="C83" t="s">
        <v>17</v>
      </c>
      <c r="D83">
        <v>143</v>
      </c>
      <c r="E83">
        <v>124</v>
      </c>
      <c r="F83" s="7">
        <v>421.8</v>
      </c>
      <c r="G83" t="s">
        <v>27</v>
      </c>
      <c r="H83" s="3">
        <v>45494</v>
      </c>
      <c r="I83" s="3">
        <v>45675</v>
      </c>
      <c r="J83" t="s">
        <v>19</v>
      </c>
      <c r="K83" t="str">
        <f>IF(InventoryData[[#This Row],[Stock Quantity]] &lt; InventoryData[[#This Row],[Reorder Level]], "Below Reorder", "Sufficient")</f>
        <v>Sufficient</v>
      </c>
      <c r="L83" s="7">
        <f>InventoryData[[#This Row],[Stock Quantity]] * InventoryData[[#This Row],[Unit Price]]</f>
        <v>60317.4</v>
      </c>
      <c r="M83" t="str">
        <f>TEXT(InventoryData[[#This Row],[Last Ordered Date]],"mmm-yyyy")</f>
        <v>Jul-2024</v>
      </c>
      <c r="N83" s="5">
        <f>InventoryData[[#This Row],[Unit Price]]*InventoryData[[#This Row],[Stock Quantity]]</f>
        <v>60317.4</v>
      </c>
      <c r="O83" s="4"/>
    </row>
    <row r="84" spans="1:15" ht="14.4" x14ac:dyDescent="0.3">
      <c r="A84" t="s">
        <v>183</v>
      </c>
      <c r="B84" t="s">
        <v>184</v>
      </c>
      <c r="C84" t="s">
        <v>34</v>
      </c>
      <c r="D84">
        <v>293</v>
      </c>
      <c r="E84">
        <v>162</v>
      </c>
      <c r="F84" s="7">
        <v>101.22</v>
      </c>
      <c r="G84" t="s">
        <v>18</v>
      </c>
      <c r="H84" s="3">
        <v>45501</v>
      </c>
      <c r="I84" s="3">
        <v>45682</v>
      </c>
      <c r="J84" t="s">
        <v>19</v>
      </c>
      <c r="K84" t="str">
        <f>IF(InventoryData[[#This Row],[Stock Quantity]] &lt; InventoryData[[#This Row],[Reorder Level]], "Below Reorder", "Sufficient")</f>
        <v>Sufficient</v>
      </c>
      <c r="L84" s="7">
        <f>InventoryData[[#This Row],[Stock Quantity]] * InventoryData[[#This Row],[Unit Price]]</f>
        <v>29657.46</v>
      </c>
      <c r="M84" t="str">
        <f>TEXT(InventoryData[[#This Row],[Last Ordered Date]],"mmm-yyyy")</f>
        <v>Jul-2024</v>
      </c>
      <c r="N84" s="5">
        <f>InventoryData[[#This Row],[Unit Price]]*InventoryData[[#This Row],[Stock Quantity]]</f>
        <v>29657.46</v>
      </c>
      <c r="O84" s="4"/>
    </row>
    <row r="85" spans="1:15" ht="14.4" x14ac:dyDescent="0.3">
      <c r="A85" t="s">
        <v>185</v>
      </c>
      <c r="B85" t="s">
        <v>186</v>
      </c>
      <c r="C85" t="s">
        <v>17</v>
      </c>
      <c r="D85">
        <v>37</v>
      </c>
      <c r="E85">
        <v>153</v>
      </c>
      <c r="F85" s="7">
        <v>208.62</v>
      </c>
      <c r="G85" t="s">
        <v>18</v>
      </c>
      <c r="H85" s="3">
        <v>45508</v>
      </c>
      <c r="I85" s="3">
        <v>45689</v>
      </c>
      <c r="J85" t="s">
        <v>14</v>
      </c>
      <c r="K85" t="str">
        <f>IF(InventoryData[[#This Row],[Stock Quantity]] &lt; InventoryData[[#This Row],[Reorder Level]], "Below Reorder", "Sufficient")</f>
        <v>Below Reorder</v>
      </c>
      <c r="L85" s="7">
        <f>InventoryData[[#This Row],[Stock Quantity]] * InventoryData[[#This Row],[Unit Price]]</f>
        <v>7718.9400000000005</v>
      </c>
      <c r="M85" t="str">
        <f>TEXT(InventoryData[[#This Row],[Last Ordered Date]],"mmm-yyyy")</f>
        <v>Aug-2024</v>
      </c>
      <c r="N85" s="5">
        <f>InventoryData[[#This Row],[Unit Price]]*InventoryData[[#This Row],[Stock Quantity]]</f>
        <v>7718.9400000000005</v>
      </c>
      <c r="O85" s="4"/>
    </row>
    <row r="86" spans="1:15" ht="14.4" x14ac:dyDescent="0.3">
      <c r="A86" t="s">
        <v>187</v>
      </c>
      <c r="B86" t="s">
        <v>188</v>
      </c>
      <c r="C86" t="s">
        <v>17</v>
      </c>
      <c r="D86">
        <v>117</v>
      </c>
      <c r="E86">
        <v>133</v>
      </c>
      <c r="F86" s="7">
        <v>351.26</v>
      </c>
      <c r="G86" t="s">
        <v>18</v>
      </c>
      <c r="H86" s="3">
        <v>45515</v>
      </c>
      <c r="I86" s="3">
        <v>45696</v>
      </c>
      <c r="J86" t="s">
        <v>24</v>
      </c>
      <c r="K86" t="str">
        <f>IF(InventoryData[[#This Row],[Stock Quantity]] &lt; InventoryData[[#This Row],[Reorder Level]], "Below Reorder", "Sufficient")</f>
        <v>Below Reorder</v>
      </c>
      <c r="L86" s="7">
        <f>InventoryData[[#This Row],[Stock Quantity]] * InventoryData[[#This Row],[Unit Price]]</f>
        <v>41097.42</v>
      </c>
      <c r="M86" t="str">
        <f>TEXT(InventoryData[[#This Row],[Last Ordered Date]],"mmm-yyyy")</f>
        <v>Aug-2024</v>
      </c>
      <c r="N86" s="5">
        <f>InventoryData[[#This Row],[Unit Price]]*InventoryData[[#This Row],[Stock Quantity]]</f>
        <v>41097.42</v>
      </c>
      <c r="O86" s="4"/>
    </row>
    <row r="87" spans="1:15" ht="14.4" x14ac:dyDescent="0.3">
      <c r="A87" t="s">
        <v>189</v>
      </c>
      <c r="B87" t="s">
        <v>190</v>
      </c>
      <c r="C87" t="s">
        <v>34</v>
      </c>
      <c r="D87">
        <v>53</v>
      </c>
      <c r="E87">
        <v>161</v>
      </c>
      <c r="F87" s="7">
        <v>73.48</v>
      </c>
      <c r="G87" t="s">
        <v>18</v>
      </c>
      <c r="H87" s="3">
        <v>45522</v>
      </c>
      <c r="I87" s="3">
        <v>45703</v>
      </c>
      <c r="J87" t="s">
        <v>19</v>
      </c>
      <c r="K87" t="str">
        <f>IF(InventoryData[[#This Row],[Stock Quantity]] &lt; InventoryData[[#This Row],[Reorder Level]], "Below Reorder", "Sufficient")</f>
        <v>Below Reorder</v>
      </c>
      <c r="L87" s="7">
        <f>InventoryData[[#This Row],[Stock Quantity]] * InventoryData[[#This Row],[Unit Price]]</f>
        <v>3894.44</v>
      </c>
      <c r="M87" t="str">
        <f>TEXT(InventoryData[[#This Row],[Last Ordered Date]],"mmm-yyyy")</f>
        <v>Aug-2024</v>
      </c>
      <c r="N87" s="5">
        <f>InventoryData[[#This Row],[Unit Price]]*InventoryData[[#This Row],[Stock Quantity]]</f>
        <v>3894.44</v>
      </c>
      <c r="O87" s="4"/>
    </row>
    <row r="88" spans="1:15" ht="14.4" x14ac:dyDescent="0.3">
      <c r="A88" t="s">
        <v>191</v>
      </c>
      <c r="B88" t="s">
        <v>192</v>
      </c>
      <c r="C88" t="s">
        <v>12</v>
      </c>
      <c r="D88">
        <v>349</v>
      </c>
      <c r="E88">
        <v>148</v>
      </c>
      <c r="F88" s="7">
        <v>70.709999999999994</v>
      </c>
      <c r="G88" t="s">
        <v>18</v>
      </c>
      <c r="H88" s="3">
        <v>45529</v>
      </c>
      <c r="I88" s="3">
        <v>45710</v>
      </c>
      <c r="J88" t="s">
        <v>19</v>
      </c>
      <c r="K88" t="str">
        <f>IF(InventoryData[[#This Row],[Stock Quantity]] &lt; InventoryData[[#This Row],[Reorder Level]], "Below Reorder", "Sufficient")</f>
        <v>Sufficient</v>
      </c>
      <c r="L88" s="7">
        <f>InventoryData[[#This Row],[Stock Quantity]] * InventoryData[[#This Row],[Unit Price]]</f>
        <v>24677.789999999997</v>
      </c>
      <c r="M88" t="str">
        <f>TEXT(InventoryData[[#This Row],[Last Ordered Date]],"mmm-yyyy")</f>
        <v>Aug-2024</v>
      </c>
      <c r="N88" s="5">
        <f>InventoryData[[#This Row],[Unit Price]]*InventoryData[[#This Row],[Stock Quantity]]</f>
        <v>24677.789999999997</v>
      </c>
      <c r="O88" s="4"/>
    </row>
    <row r="89" spans="1:15" ht="14.4" x14ac:dyDescent="0.3">
      <c r="A89" t="s">
        <v>193</v>
      </c>
      <c r="B89" t="s">
        <v>194</v>
      </c>
      <c r="C89" t="s">
        <v>17</v>
      </c>
      <c r="D89">
        <v>295</v>
      </c>
      <c r="E89">
        <v>142</v>
      </c>
      <c r="F89" s="7">
        <v>484.92</v>
      </c>
      <c r="G89" t="s">
        <v>13</v>
      </c>
      <c r="H89" s="3">
        <v>45536</v>
      </c>
      <c r="I89" s="3">
        <v>45717</v>
      </c>
      <c r="J89" t="s">
        <v>14</v>
      </c>
      <c r="K89" t="str">
        <f>IF(InventoryData[[#This Row],[Stock Quantity]] &lt; InventoryData[[#This Row],[Reorder Level]], "Below Reorder", "Sufficient")</f>
        <v>Sufficient</v>
      </c>
      <c r="L89" s="7">
        <f>InventoryData[[#This Row],[Stock Quantity]] * InventoryData[[#This Row],[Unit Price]]</f>
        <v>143051.4</v>
      </c>
      <c r="M89" t="str">
        <f>TEXT(InventoryData[[#This Row],[Last Ordered Date]],"mmm-yyyy")</f>
        <v>Sep-2024</v>
      </c>
      <c r="N89" s="5">
        <f>InventoryData[[#This Row],[Unit Price]]*InventoryData[[#This Row],[Stock Quantity]]</f>
        <v>143051.4</v>
      </c>
      <c r="O89" s="4"/>
    </row>
    <row r="90" spans="1:15" ht="14.4" x14ac:dyDescent="0.3">
      <c r="A90" t="s">
        <v>195</v>
      </c>
      <c r="B90" t="s">
        <v>196</v>
      </c>
      <c r="C90" t="s">
        <v>34</v>
      </c>
      <c r="D90">
        <v>455</v>
      </c>
      <c r="E90">
        <v>195</v>
      </c>
      <c r="F90" s="7">
        <v>358.72</v>
      </c>
      <c r="G90" t="s">
        <v>27</v>
      </c>
      <c r="H90" s="3">
        <v>45543</v>
      </c>
      <c r="I90" s="3">
        <v>45724</v>
      </c>
      <c r="J90" t="s">
        <v>19</v>
      </c>
      <c r="K90" t="str">
        <f>IF(InventoryData[[#This Row],[Stock Quantity]] &lt; InventoryData[[#This Row],[Reorder Level]], "Below Reorder", "Sufficient")</f>
        <v>Sufficient</v>
      </c>
      <c r="L90" s="7">
        <f>InventoryData[[#This Row],[Stock Quantity]] * InventoryData[[#This Row],[Unit Price]]</f>
        <v>163217.60000000001</v>
      </c>
      <c r="M90" t="str">
        <f>TEXT(InventoryData[[#This Row],[Last Ordered Date]],"mmm-yyyy")</f>
        <v>Sep-2024</v>
      </c>
      <c r="N90" s="5">
        <f>InventoryData[[#This Row],[Unit Price]]*InventoryData[[#This Row],[Stock Quantity]]</f>
        <v>163217.60000000001</v>
      </c>
      <c r="O90" s="4"/>
    </row>
    <row r="91" spans="1:15" ht="14.4" x14ac:dyDescent="0.3">
      <c r="A91" t="s">
        <v>197</v>
      </c>
      <c r="B91" t="s">
        <v>198</v>
      </c>
      <c r="C91" t="s">
        <v>17</v>
      </c>
      <c r="D91">
        <v>340</v>
      </c>
      <c r="E91">
        <v>177</v>
      </c>
      <c r="F91" s="7">
        <v>25.33</v>
      </c>
      <c r="G91" t="s">
        <v>13</v>
      </c>
      <c r="H91" s="3">
        <v>45550</v>
      </c>
      <c r="I91" s="3">
        <v>45731</v>
      </c>
      <c r="J91" t="s">
        <v>24</v>
      </c>
      <c r="K91" t="str">
        <f>IF(InventoryData[[#This Row],[Stock Quantity]] &lt; InventoryData[[#This Row],[Reorder Level]], "Below Reorder", "Sufficient")</f>
        <v>Sufficient</v>
      </c>
      <c r="L91" s="7">
        <f>InventoryData[[#This Row],[Stock Quantity]] * InventoryData[[#This Row],[Unit Price]]</f>
        <v>8612.1999999999989</v>
      </c>
      <c r="M91" t="str">
        <f>TEXT(InventoryData[[#This Row],[Last Ordered Date]],"mmm-yyyy")</f>
        <v>Sep-2024</v>
      </c>
      <c r="N91" s="5">
        <f>InventoryData[[#This Row],[Unit Price]]*InventoryData[[#This Row],[Stock Quantity]]</f>
        <v>8612.1999999999989</v>
      </c>
      <c r="O91" s="4"/>
    </row>
    <row r="92" spans="1:15" ht="14.4" x14ac:dyDescent="0.3">
      <c r="A92" t="s">
        <v>199</v>
      </c>
      <c r="B92" t="s">
        <v>200</v>
      </c>
      <c r="C92" t="s">
        <v>17</v>
      </c>
      <c r="D92">
        <v>137</v>
      </c>
      <c r="E92">
        <v>159</v>
      </c>
      <c r="F92" s="7">
        <v>202.42</v>
      </c>
      <c r="G92" t="s">
        <v>18</v>
      </c>
      <c r="H92" s="3">
        <v>45557</v>
      </c>
      <c r="I92" s="3">
        <v>45738</v>
      </c>
      <c r="J92" t="s">
        <v>24</v>
      </c>
      <c r="K92" t="str">
        <f>IF(InventoryData[[#This Row],[Stock Quantity]] &lt; InventoryData[[#This Row],[Reorder Level]], "Below Reorder", "Sufficient")</f>
        <v>Below Reorder</v>
      </c>
      <c r="L92" s="7">
        <f>InventoryData[[#This Row],[Stock Quantity]] * InventoryData[[#This Row],[Unit Price]]</f>
        <v>27731.539999999997</v>
      </c>
      <c r="M92" t="str">
        <f>TEXT(InventoryData[[#This Row],[Last Ordered Date]],"mmm-yyyy")</f>
        <v>Sep-2024</v>
      </c>
      <c r="N92" s="5">
        <f>InventoryData[[#This Row],[Unit Price]]*InventoryData[[#This Row],[Stock Quantity]]</f>
        <v>27731.539999999997</v>
      </c>
      <c r="O92" s="4"/>
    </row>
    <row r="93" spans="1:15" ht="14.4" x14ac:dyDescent="0.3">
      <c r="A93" t="s">
        <v>201</v>
      </c>
      <c r="B93" t="s">
        <v>202</v>
      </c>
      <c r="C93" t="s">
        <v>17</v>
      </c>
      <c r="D93">
        <v>357</v>
      </c>
      <c r="E93">
        <v>131</v>
      </c>
      <c r="F93" s="7">
        <v>219.59</v>
      </c>
      <c r="G93" t="s">
        <v>27</v>
      </c>
      <c r="H93" s="3">
        <v>45564</v>
      </c>
      <c r="I93" s="3">
        <v>45745</v>
      </c>
      <c r="J93" t="s">
        <v>19</v>
      </c>
      <c r="K93" t="str">
        <f>IF(InventoryData[[#This Row],[Stock Quantity]] &lt; InventoryData[[#This Row],[Reorder Level]], "Below Reorder", "Sufficient")</f>
        <v>Sufficient</v>
      </c>
      <c r="L93" s="7">
        <f>InventoryData[[#This Row],[Stock Quantity]] * InventoryData[[#This Row],[Unit Price]]</f>
        <v>78393.63</v>
      </c>
      <c r="M93" t="str">
        <f>TEXT(InventoryData[[#This Row],[Last Ordered Date]],"mmm-yyyy")</f>
        <v>Sep-2024</v>
      </c>
      <c r="N93" s="5">
        <f>InventoryData[[#This Row],[Unit Price]]*InventoryData[[#This Row],[Stock Quantity]]</f>
        <v>78393.63</v>
      </c>
      <c r="O93" s="4"/>
    </row>
    <row r="94" spans="1:15" ht="14.4" x14ac:dyDescent="0.3">
      <c r="A94" t="s">
        <v>203</v>
      </c>
      <c r="B94" t="s">
        <v>204</v>
      </c>
      <c r="C94" t="s">
        <v>17</v>
      </c>
      <c r="D94">
        <v>482</v>
      </c>
      <c r="E94">
        <v>103</v>
      </c>
      <c r="F94" s="7">
        <v>373.3</v>
      </c>
      <c r="G94" t="s">
        <v>18</v>
      </c>
      <c r="H94" s="3">
        <v>45571</v>
      </c>
      <c r="I94" s="3">
        <v>45752</v>
      </c>
      <c r="J94" t="s">
        <v>19</v>
      </c>
      <c r="K94" t="str">
        <f>IF(InventoryData[[#This Row],[Stock Quantity]] &lt; InventoryData[[#This Row],[Reorder Level]], "Below Reorder", "Sufficient")</f>
        <v>Sufficient</v>
      </c>
      <c r="L94" s="7">
        <f>InventoryData[[#This Row],[Stock Quantity]] * InventoryData[[#This Row],[Unit Price]]</f>
        <v>179930.6</v>
      </c>
      <c r="M94" t="str">
        <f>TEXT(InventoryData[[#This Row],[Last Ordered Date]],"mmm-yyyy")</f>
        <v>Oct-2024</v>
      </c>
      <c r="N94" s="5">
        <f>InventoryData[[#This Row],[Unit Price]]*InventoryData[[#This Row],[Stock Quantity]]</f>
        <v>179930.6</v>
      </c>
      <c r="O94" s="4"/>
    </row>
    <row r="95" spans="1:15" ht="14.4" x14ac:dyDescent="0.3">
      <c r="A95" t="s">
        <v>205</v>
      </c>
      <c r="B95" t="s">
        <v>206</v>
      </c>
      <c r="C95" t="s">
        <v>12</v>
      </c>
      <c r="D95">
        <v>240</v>
      </c>
      <c r="E95">
        <v>117</v>
      </c>
      <c r="F95" s="7">
        <v>129.18</v>
      </c>
      <c r="G95" t="s">
        <v>27</v>
      </c>
      <c r="H95" s="3">
        <v>45578</v>
      </c>
      <c r="I95" s="3">
        <v>45759</v>
      </c>
      <c r="J95" t="s">
        <v>14</v>
      </c>
      <c r="K95" t="str">
        <f>IF(InventoryData[[#This Row],[Stock Quantity]] &lt; InventoryData[[#This Row],[Reorder Level]], "Below Reorder", "Sufficient")</f>
        <v>Sufficient</v>
      </c>
      <c r="L95" s="7">
        <f>InventoryData[[#This Row],[Stock Quantity]] * InventoryData[[#This Row],[Unit Price]]</f>
        <v>31003.200000000001</v>
      </c>
      <c r="M95" t="str">
        <f>TEXT(InventoryData[[#This Row],[Last Ordered Date]],"mmm-yyyy")</f>
        <v>Oct-2024</v>
      </c>
      <c r="N95" s="5">
        <f>InventoryData[[#This Row],[Unit Price]]*InventoryData[[#This Row],[Stock Quantity]]</f>
        <v>31003.200000000001</v>
      </c>
      <c r="O95" s="4"/>
    </row>
    <row r="96" spans="1:15" ht="14.4" x14ac:dyDescent="0.3">
      <c r="A96" t="s">
        <v>207</v>
      </c>
      <c r="B96" t="s">
        <v>208</v>
      </c>
      <c r="C96" t="s">
        <v>17</v>
      </c>
      <c r="D96">
        <v>199</v>
      </c>
      <c r="E96">
        <v>82</v>
      </c>
      <c r="F96" s="7">
        <v>96.25</v>
      </c>
      <c r="G96" t="s">
        <v>13</v>
      </c>
      <c r="H96" s="3">
        <v>45585</v>
      </c>
      <c r="I96" s="3">
        <v>45766</v>
      </c>
      <c r="J96" t="s">
        <v>24</v>
      </c>
      <c r="K96" t="str">
        <f>IF(InventoryData[[#This Row],[Stock Quantity]] &lt; InventoryData[[#This Row],[Reorder Level]], "Below Reorder", "Sufficient")</f>
        <v>Sufficient</v>
      </c>
      <c r="L96" s="7">
        <f>InventoryData[[#This Row],[Stock Quantity]] * InventoryData[[#This Row],[Unit Price]]</f>
        <v>19153.75</v>
      </c>
      <c r="M96" t="str">
        <f>TEXT(InventoryData[[#This Row],[Last Ordered Date]],"mmm-yyyy")</f>
        <v>Oct-2024</v>
      </c>
      <c r="N96" s="5">
        <f>InventoryData[[#This Row],[Unit Price]]*InventoryData[[#This Row],[Stock Quantity]]</f>
        <v>19153.75</v>
      </c>
      <c r="O96" s="4"/>
    </row>
    <row r="97" spans="1:16" ht="14.4" x14ac:dyDescent="0.3">
      <c r="A97" t="s">
        <v>209</v>
      </c>
      <c r="B97" t="s">
        <v>210</v>
      </c>
      <c r="C97" t="s">
        <v>17</v>
      </c>
      <c r="D97">
        <v>234</v>
      </c>
      <c r="E97">
        <v>191</v>
      </c>
      <c r="F97" s="7">
        <v>45.03</v>
      </c>
      <c r="G97" t="s">
        <v>27</v>
      </c>
      <c r="H97" s="3">
        <v>45592</v>
      </c>
      <c r="I97" s="3">
        <v>45773</v>
      </c>
      <c r="J97" t="s">
        <v>24</v>
      </c>
      <c r="K97" t="str">
        <f>IF(InventoryData[[#This Row],[Stock Quantity]] &lt; InventoryData[[#This Row],[Reorder Level]], "Below Reorder", "Sufficient")</f>
        <v>Sufficient</v>
      </c>
      <c r="L97" s="7">
        <f>InventoryData[[#This Row],[Stock Quantity]] * InventoryData[[#This Row],[Unit Price]]</f>
        <v>10537.02</v>
      </c>
      <c r="M97" t="str">
        <f>TEXT(InventoryData[[#This Row],[Last Ordered Date]],"mmm-yyyy")</f>
        <v>Oct-2024</v>
      </c>
      <c r="N97" s="5">
        <f>InventoryData[[#This Row],[Unit Price]]*InventoryData[[#This Row],[Stock Quantity]]</f>
        <v>10537.02</v>
      </c>
      <c r="O97" s="4"/>
    </row>
    <row r="98" spans="1:16" ht="14.4" x14ac:dyDescent="0.3">
      <c r="A98" t="s">
        <v>211</v>
      </c>
      <c r="B98" t="s">
        <v>212</v>
      </c>
      <c r="C98" t="s">
        <v>17</v>
      </c>
      <c r="D98">
        <v>394</v>
      </c>
      <c r="E98">
        <v>70</v>
      </c>
      <c r="F98" s="7">
        <v>217.02</v>
      </c>
      <c r="G98" t="s">
        <v>27</v>
      </c>
      <c r="H98" s="3">
        <v>45599</v>
      </c>
      <c r="I98" s="3">
        <v>45780</v>
      </c>
      <c r="J98" t="s">
        <v>19</v>
      </c>
      <c r="K98" t="str">
        <f>IF(InventoryData[[#This Row],[Stock Quantity]] &lt; InventoryData[[#This Row],[Reorder Level]], "Below Reorder", "Sufficient")</f>
        <v>Sufficient</v>
      </c>
      <c r="L98" s="7">
        <f>InventoryData[[#This Row],[Stock Quantity]] * InventoryData[[#This Row],[Unit Price]]</f>
        <v>85505.88</v>
      </c>
      <c r="M98" t="str">
        <f>TEXT(InventoryData[[#This Row],[Last Ordered Date]],"mmm-yyyy")</f>
        <v>Nov-2024</v>
      </c>
      <c r="N98" s="5">
        <f>InventoryData[[#This Row],[Unit Price]]*InventoryData[[#This Row],[Stock Quantity]]</f>
        <v>85505.88</v>
      </c>
      <c r="O98" s="4"/>
    </row>
    <row r="99" spans="1:16" ht="14.4" x14ac:dyDescent="0.3">
      <c r="A99" t="s">
        <v>213</v>
      </c>
      <c r="B99" t="s">
        <v>214</v>
      </c>
      <c r="C99" t="s">
        <v>12</v>
      </c>
      <c r="D99">
        <v>386</v>
      </c>
      <c r="E99">
        <v>97</v>
      </c>
      <c r="F99" s="7">
        <v>345.81</v>
      </c>
      <c r="G99" t="s">
        <v>27</v>
      </c>
      <c r="H99" s="3">
        <v>45606</v>
      </c>
      <c r="I99" s="3">
        <v>45787</v>
      </c>
      <c r="J99" t="s">
        <v>14</v>
      </c>
      <c r="K99" t="str">
        <f>IF(InventoryData[[#This Row],[Stock Quantity]] &lt; InventoryData[[#This Row],[Reorder Level]], "Below Reorder", "Sufficient")</f>
        <v>Sufficient</v>
      </c>
      <c r="L99" s="7">
        <f>InventoryData[[#This Row],[Stock Quantity]] * InventoryData[[#This Row],[Unit Price]]</f>
        <v>133482.66</v>
      </c>
      <c r="M99" t="str">
        <f>TEXT(InventoryData[[#This Row],[Last Ordered Date]],"mmm-yyyy")</f>
        <v>Nov-2024</v>
      </c>
      <c r="N99" s="5">
        <f>InventoryData[[#This Row],[Unit Price]]*InventoryData[[#This Row],[Stock Quantity]]</f>
        <v>133482.66</v>
      </c>
      <c r="O99" s="4"/>
    </row>
    <row r="100" spans="1:16" ht="14.4" x14ac:dyDescent="0.3">
      <c r="A100" t="s">
        <v>215</v>
      </c>
      <c r="B100" t="s">
        <v>216</v>
      </c>
      <c r="C100" t="s">
        <v>17</v>
      </c>
      <c r="D100">
        <v>292</v>
      </c>
      <c r="E100">
        <v>197</v>
      </c>
      <c r="F100" s="7">
        <v>33.81</v>
      </c>
      <c r="G100" t="s">
        <v>27</v>
      </c>
      <c r="H100" s="3">
        <v>45613</v>
      </c>
      <c r="I100" s="3">
        <v>45794</v>
      </c>
      <c r="J100" t="s">
        <v>24</v>
      </c>
      <c r="K100" t="str">
        <f>IF(InventoryData[[#This Row],[Stock Quantity]] &lt; InventoryData[[#This Row],[Reorder Level]], "Below Reorder", "Sufficient")</f>
        <v>Sufficient</v>
      </c>
      <c r="L100" s="7">
        <f>InventoryData[[#This Row],[Stock Quantity]] * InventoryData[[#This Row],[Unit Price]]</f>
        <v>9872.52</v>
      </c>
      <c r="M100" t="str">
        <f>TEXT(InventoryData[[#This Row],[Last Ordered Date]],"mmm-yyyy")</f>
        <v>Nov-2024</v>
      </c>
      <c r="N100" s="5">
        <f>InventoryData[[#This Row],[Unit Price]]*InventoryData[[#This Row],[Stock Quantity]]</f>
        <v>9872.52</v>
      </c>
      <c r="O100" s="4"/>
    </row>
    <row r="101" spans="1:16" ht="14.4" x14ac:dyDescent="0.3">
      <c r="A101" t="s">
        <v>217</v>
      </c>
      <c r="B101" t="s">
        <v>218</v>
      </c>
      <c r="C101" t="s">
        <v>17</v>
      </c>
      <c r="D101">
        <v>455</v>
      </c>
      <c r="E101">
        <v>177</v>
      </c>
      <c r="F101" s="7">
        <v>458.03</v>
      </c>
      <c r="G101" t="s">
        <v>27</v>
      </c>
      <c r="H101" s="3">
        <v>45620</v>
      </c>
      <c r="I101" s="3">
        <v>45801</v>
      </c>
      <c r="J101" t="s">
        <v>24</v>
      </c>
      <c r="K101" t="str">
        <f>IF(InventoryData[[#This Row],[Stock Quantity]] &lt; InventoryData[[#This Row],[Reorder Level]], "Below Reorder", "Sufficient")</f>
        <v>Sufficient</v>
      </c>
      <c r="L101" s="7">
        <f>InventoryData[[#This Row],[Stock Quantity]] * InventoryData[[#This Row],[Unit Price]]</f>
        <v>208403.65</v>
      </c>
      <c r="M101" t="str">
        <f>TEXT(InventoryData[[#This Row],[Last Ordered Date]],"mmm-yyyy")</f>
        <v>Nov-2024</v>
      </c>
      <c r="N101" s="5">
        <f>InventoryData[[#This Row],[Unit Price]]*InventoryData[[#This Row],[Stock Quantity]]</f>
        <v>208403.65</v>
      </c>
      <c r="O101" s="4"/>
    </row>
    <row r="102" spans="1:16" ht="14.4" x14ac:dyDescent="0.3">
      <c r="P102" s="4"/>
    </row>
    <row r="103" spans="1:16" ht="14.4" x14ac:dyDescent="0.3">
      <c r="P103" s="4"/>
    </row>
    <row r="104" spans="1:16" ht="14.4" x14ac:dyDescent="0.3">
      <c r="P104" s="4"/>
    </row>
    <row r="105" spans="1:16" ht="14.4" x14ac:dyDescent="0.3">
      <c r="P105" s="4"/>
    </row>
    <row r="106" spans="1:16" ht="14.4" x14ac:dyDescent="0.3">
      <c r="P106" s="4"/>
    </row>
    <row r="107" spans="1:16" ht="14.4" x14ac:dyDescent="0.3">
      <c r="P107" s="4"/>
    </row>
    <row r="108" spans="1:16" ht="14.4" x14ac:dyDescent="0.3">
      <c r="P108" s="4"/>
    </row>
    <row r="109" spans="1:16" ht="14.4" x14ac:dyDescent="0.3">
      <c r="P109" s="4"/>
    </row>
    <row r="110" spans="1:16" ht="14.4" x14ac:dyDescent="0.3">
      <c r="P110" s="4"/>
    </row>
    <row r="111" spans="1:16" ht="14.4" x14ac:dyDescent="0.3">
      <c r="P111" s="4"/>
    </row>
    <row r="112" spans="1:16" ht="14.4" x14ac:dyDescent="0.3">
      <c r="P112" s="4"/>
    </row>
    <row r="113" spans="16:16" ht="14.4" x14ac:dyDescent="0.3">
      <c r="P113" s="4"/>
    </row>
    <row r="114" spans="16:16" ht="14.4" x14ac:dyDescent="0.3">
      <c r="P114" s="4"/>
    </row>
    <row r="115" spans="16:16" ht="14.4" x14ac:dyDescent="0.3">
      <c r="P115" s="4"/>
    </row>
    <row r="116" spans="16:16" ht="14.4" x14ac:dyDescent="0.3">
      <c r="P116" s="4"/>
    </row>
    <row r="117" spans="16:16" ht="14.4" x14ac:dyDescent="0.3">
      <c r="P117" s="4"/>
    </row>
    <row r="118" spans="16:16" ht="14.4" x14ac:dyDescent="0.3">
      <c r="P118" s="4"/>
    </row>
    <row r="119" spans="16:16" ht="14.4" x14ac:dyDescent="0.3">
      <c r="P119" s="4"/>
    </row>
    <row r="120" spans="16:16" ht="14.4" x14ac:dyDescent="0.3">
      <c r="P120" s="4"/>
    </row>
    <row r="121" spans="16:16" ht="14.4" x14ac:dyDescent="0.3">
      <c r="P121" s="4"/>
    </row>
    <row r="122" spans="16:16" ht="14.4" x14ac:dyDescent="0.3">
      <c r="P122" s="4"/>
    </row>
    <row r="123" spans="16:16" ht="14.4" x14ac:dyDescent="0.3">
      <c r="P123" s="4"/>
    </row>
    <row r="124" spans="16:16" ht="14.4" x14ac:dyDescent="0.3">
      <c r="P124" s="4"/>
    </row>
    <row r="125" spans="16:16" ht="14.4" x14ac:dyDescent="0.3">
      <c r="P125" s="4"/>
    </row>
    <row r="126" spans="16:16" ht="14.4" x14ac:dyDescent="0.3">
      <c r="P126" s="4"/>
    </row>
    <row r="127" spans="16:16" ht="14.4" x14ac:dyDescent="0.3">
      <c r="P127" s="4"/>
    </row>
    <row r="128" spans="16:16" ht="14.4" x14ac:dyDescent="0.3">
      <c r="P128" s="4"/>
    </row>
    <row r="129" spans="16:16" ht="14.4" x14ac:dyDescent="0.3">
      <c r="P129" s="4"/>
    </row>
    <row r="130" spans="16:16" ht="14.4" x14ac:dyDescent="0.3">
      <c r="P130" s="4"/>
    </row>
    <row r="131" spans="16:16" ht="14.4" x14ac:dyDescent="0.3">
      <c r="P131" s="4"/>
    </row>
    <row r="132" spans="16:16" ht="14.4" x14ac:dyDescent="0.3">
      <c r="P132" s="4"/>
    </row>
    <row r="133" spans="16:16" ht="14.4" x14ac:dyDescent="0.3">
      <c r="P133" s="4"/>
    </row>
    <row r="134" spans="16:16" ht="14.4" x14ac:dyDescent="0.3">
      <c r="P134" s="4"/>
    </row>
    <row r="135" spans="16:16" ht="14.4" x14ac:dyDescent="0.3">
      <c r="P135" s="4"/>
    </row>
    <row r="136" spans="16:16" ht="14.4" x14ac:dyDescent="0.3">
      <c r="P136" s="4"/>
    </row>
    <row r="137" spans="16:16" ht="14.4" x14ac:dyDescent="0.3">
      <c r="P137" s="4"/>
    </row>
    <row r="138" spans="16:16" ht="14.4" x14ac:dyDescent="0.3">
      <c r="P138" s="4"/>
    </row>
    <row r="139" spans="16:16" ht="14.4" x14ac:dyDescent="0.3">
      <c r="P139" s="4"/>
    </row>
    <row r="140" spans="16:16" ht="14.4" x14ac:dyDescent="0.3">
      <c r="P140" s="4"/>
    </row>
    <row r="141" spans="16:16" ht="14.4" x14ac:dyDescent="0.3">
      <c r="P141" s="4"/>
    </row>
    <row r="142" spans="16:16" ht="14.4" x14ac:dyDescent="0.3">
      <c r="P142" s="4"/>
    </row>
    <row r="143" spans="16:16" ht="14.4" x14ac:dyDescent="0.3">
      <c r="P143" s="4"/>
    </row>
    <row r="144" spans="16:16" ht="14.4" x14ac:dyDescent="0.3">
      <c r="P144" s="4"/>
    </row>
    <row r="145" spans="16:16" ht="14.4" x14ac:dyDescent="0.3">
      <c r="P145" s="4"/>
    </row>
    <row r="146" spans="16:16" ht="14.4" x14ac:dyDescent="0.3">
      <c r="P146" s="4"/>
    </row>
    <row r="147" spans="16:16" ht="14.4" x14ac:dyDescent="0.3">
      <c r="P147" s="4"/>
    </row>
    <row r="148" spans="16:16" ht="14.4" x14ac:dyDescent="0.3">
      <c r="P148" s="4"/>
    </row>
    <row r="149" spans="16:16" ht="14.4" x14ac:dyDescent="0.3">
      <c r="P149" s="4"/>
    </row>
    <row r="150" spans="16:16" ht="14.4" x14ac:dyDescent="0.3">
      <c r="P150" s="4"/>
    </row>
    <row r="151" spans="16:16" ht="14.4" x14ac:dyDescent="0.3">
      <c r="P151" s="4"/>
    </row>
    <row r="152" spans="16:16" ht="14.4" x14ac:dyDescent="0.3">
      <c r="P152" s="4"/>
    </row>
    <row r="153" spans="16:16" ht="14.4" x14ac:dyDescent="0.3">
      <c r="P153" s="4"/>
    </row>
    <row r="154" spans="16:16" ht="14.4" x14ac:dyDescent="0.3">
      <c r="P154" s="4"/>
    </row>
    <row r="155" spans="16:16" ht="14.4" x14ac:dyDescent="0.3">
      <c r="P155" s="4"/>
    </row>
    <row r="156" spans="16:16" ht="14.4" x14ac:dyDescent="0.3">
      <c r="P156" s="4"/>
    </row>
    <row r="157" spans="16:16" ht="14.4" x14ac:dyDescent="0.3">
      <c r="P157" s="4"/>
    </row>
    <row r="158" spans="16:16" ht="14.4" x14ac:dyDescent="0.3">
      <c r="P158" s="4"/>
    </row>
    <row r="159" spans="16:16" ht="14.4" x14ac:dyDescent="0.3">
      <c r="P159" s="4"/>
    </row>
    <row r="160" spans="16:16" ht="14.4" x14ac:dyDescent="0.3">
      <c r="P160" s="4"/>
    </row>
    <row r="161" spans="16:16" ht="14.4" x14ac:dyDescent="0.3">
      <c r="P161" s="4"/>
    </row>
    <row r="162" spans="16:16" ht="14.4" x14ac:dyDescent="0.3">
      <c r="P162" s="4"/>
    </row>
    <row r="163" spans="16:16" ht="14.4" x14ac:dyDescent="0.3">
      <c r="P163" s="4"/>
    </row>
    <row r="164" spans="16:16" ht="14.4" x14ac:dyDescent="0.3">
      <c r="P164" s="4"/>
    </row>
    <row r="165" spans="16:16" ht="14.4" x14ac:dyDescent="0.3">
      <c r="P165" s="4"/>
    </row>
    <row r="166" spans="16:16" ht="14.4" x14ac:dyDescent="0.3">
      <c r="P166" s="4"/>
    </row>
    <row r="167" spans="16:16" ht="14.4" x14ac:dyDescent="0.3">
      <c r="P167" s="4"/>
    </row>
    <row r="168" spans="16:16" ht="14.4" x14ac:dyDescent="0.3">
      <c r="P168" s="4"/>
    </row>
    <row r="169" spans="16:16" ht="14.4" x14ac:dyDescent="0.3">
      <c r="P169" s="4"/>
    </row>
    <row r="170" spans="16:16" ht="14.4" x14ac:dyDescent="0.3">
      <c r="P170" s="4"/>
    </row>
    <row r="171" spans="16:16" ht="14.4" x14ac:dyDescent="0.3">
      <c r="P171" s="4"/>
    </row>
    <row r="172" spans="16:16" ht="14.4" x14ac:dyDescent="0.3">
      <c r="P172" s="4"/>
    </row>
    <row r="173" spans="16:16" ht="14.4" x14ac:dyDescent="0.3">
      <c r="P173" s="4"/>
    </row>
    <row r="174" spans="16:16" ht="14.4" x14ac:dyDescent="0.3">
      <c r="P174" s="4"/>
    </row>
    <row r="175" spans="16:16" ht="14.4" x14ac:dyDescent="0.3">
      <c r="P175" s="4"/>
    </row>
    <row r="176" spans="16:16" ht="14.4" x14ac:dyDescent="0.3">
      <c r="P176" s="4"/>
    </row>
    <row r="177" spans="16:16" ht="14.4" x14ac:dyDescent="0.3">
      <c r="P177" s="4"/>
    </row>
  </sheetData>
  <phoneticPr fontId="3" type="noConversion"/>
  <conditionalFormatting sqref="K2:K101">
    <cfRule type="cellIs" dxfId="13" priority="12" operator="equal">
      <formula>"Sufficient"</formula>
    </cfRule>
    <cfRule type="cellIs" dxfId="12" priority="13" operator="equal">
      <formula>"Below Reorder"</formula>
    </cfRule>
  </conditionalFormatting>
  <pageMargins left="0.7" right="0.7" top="0.75" bottom="0.75" header="0.3" footer="0.3"/>
  <pageSetup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01988-6D5C-4E39-964A-81ACB9EEC797}">
  <sheetPr codeName="Sheet4"/>
  <dimension ref="A1:Q158"/>
  <sheetViews>
    <sheetView topLeftCell="A53" workbookViewId="0">
      <selection activeCell="E58" sqref="E58"/>
    </sheetView>
  </sheetViews>
  <sheetFormatPr defaultRowHeight="13.8" x14ac:dyDescent="0.25"/>
  <cols>
    <col min="1" max="1" width="11.8984375" bestFit="1" customWidth="1"/>
    <col min="2" max="2" width="18.296875" bestFit="1" customWidth="1"/>
    <col min="3" max="3" width="15.8984375" bestFit="1" customWidth="1"/>
    <col min="4" max="4" width="15.296875" bestFit="1" customWidth="1"/>
    <col min="5" max="5" width="18.296875" bestFit="1" customWidth="1"/>
    <col min="6" max="6" width="22.296875" bestFit="1" customWidth="1"/>
    <col min="7" max="7" width="15.296875" bestFit="1" customWidth="1"/>
    <col min="8" max="8" width="15.8984375" bestFit="1" customWidth="1"/>
    <col min="9" max="9" width="11.8984375" bestFit="1" customWidth="1"/>
    <col min="10" max="11" width="18.296875" bestFit="1" customWidth="1"/>
    <col min="12" max="13" width="11.8984375" bestFit="1" customWidth="1"/>
    <col min="14" max="14" width="15.8984375" bestFit="1" customWidth="1"/>
    <col min="15" max="16" width="11.8984375" bestFit="1" customWidth="1"/>
    <col min="17" max="17" width="19.296875" bestFit="1" customWidth="1"/>
    <col min="18" max="18" width="22.296875" bestFit="1" customWidth="1"/>
    <col min="19" max="19" width="17.69921875" bestFit="1" customWidth="1"/>
    <col min="20" max="20" width="22.296875" bestFit="1" customWidth="1"/>
    <col min="21" max="21" width="17.69921875" bestFit="1" customWidth="1"/>
    <col min="22" max="22" width="22.296875" bestFit="1" customWidth="1"/>
    <col min="23" max="23" width="17.69921875" bestFit="1" customWidth="1"/>
    <col min="24" max="24" width="22.296875" bestFit="1" customWidth="1"/>
    <col min="25" max="25" width="17.69921875" bestFit="1" customWidth="1"/>
    <col min="26" max="102" width="10.09765625" bestFit="1" customWidth="1"/>
  </cols>
  <sheetData>
    <row r="1" spans="1:16" x14ac:dyDescent="0.25">
      <c r="A1" t="s">
        <v>223</v>
      </c>
      <c r="C1" t="s">
        <v>224</v>
      </c>
      <c r="E1" t="s">
        <v>232</v>
      </c>
      <c r="G1" t="s">
        <v>233</v>
      </c>
      <c r="L1" s="1" t="s">
        <v>228</v>
      </c>
      <c r="M1" t="s">
        <v>225</v>
      </c>
      <c r="O1" s="1" t="s">
        <v>228</v>
      </c>
      <c r="P1" t="s">
        <v>224</v>
      </c>
    </row>
    <row r="2" spans="1:16" x14ac:dyDescent="0.25">
      <c r="A2">
        <v>24402</v>
      </c>
      <c r="C2" s="7">
        <v>5943897.1300000027</v>
      </c>
      <c r="E2">
        <v>244.02</v>
      </c>
      <c r="G2" s="7">
        <v>59438.971300000027</v>
      </c>
      <c r="L2" s="2" t="s">
        <v>226</v>
      </c>
      <c r="M2">
        <v>31</v>
      </c>
      <c r="O2" s="2" t="s">
        <v>17</v>
      </c>
      <c r="P2">
        <v>1967566.4199999995</v>
      </c>
    </row>
    <row r="3" spans="1:16" x14ac:dyDescent="0.25">
      <c r="I3" s="1" t="s">
        <v>228</v>
      </c>
      <c r="J3" t="s">
        <v>223</v>
      </c>
      <c r="L3" s="2" t="s">
        <v>229</v>
      </c>
      <c r="M3">
        <v>69</v>
      </c>
      <c r="O3" s="2" t="s">
        <v>34</v>
      </c>
      <c r="P3">
        <v>2307882.8099999996</v>
      </c>
    </row>
    <row r="4" spans="1:16" x14ac:dyDescent="0.25">
      <c r="I4" s="2" t="s">
        <v>226</v>
      </c>
      <c r="J4">
        <v>2571</v>
      </c>
      <c r="L4" s="2" t="s">
        <v>222</v>
      </c>
      <c r="M4">
        <v>100</v>
      </c>
      <c r="O4" s="2" t="s">
        <v>12</v>
      </c>
      <c r="P4">
        <v>1668447.8999999997</v>
      </c>
    </row>
    <row r="5" spans="1:16" x14ac:dyDescent="0.25">
      <c r="I5" s="2" t="s">
        <v>229</v>
      </c>
      <c r="J5">
        <v>21831</v>
      </c>
      <c r="O5" s="2" t="s">
        <v>222</v>
      </c>
      <c r="P5">
        <v>5943897.1300000027</v>
      </c>
    </row>
    <row r="6" spans="1:16" x14ac:dyDescent="0.25">
      <c r="I6" s="2" t="s">
        <v>222</v>
      </c>
      <c r="J6">
        <v>24402</v>
      </c>
    </row>
    <row r="7" spans="1:16" x14ac:dyDescent="0.25">
      <c r="A7" s="1" t="s">
        <v>228</v>
      </c>
      <c r="B7" t="s">
        <v>223</v>
      </c>
      <c r="D7" s="1" t="s">
        <v>228</v>
      </c>
      <c r="E7" t="s">
        <v>224</v>
      </c>
      <c r="G7" s="1" t="s">
        <v>228</v>
      </c>
      <c r="H7" t="s">
        <v>233</v>
      </c>
    </row>
    <row r="8" spans="1:16" x14ac:dyDescent="0.25">
      <c r="A8" s="2" t="s">
        <v>19</v>
      </c>
      <c r="B8">
        <v>10178</v>
      </c>
      <c r="D8" s="2" t="s">
        <v>19</v>
      </c>
      <c r="E8">
        <v>2552063.3299999996</v>
      </c>
      <c r="G8" s="2" t="s">
        <v>19</v>
      </c>
      <c r="H8">
        <v>62245.447073170719</v>
      </c>
    </row>
    <row r="9" spans="1:16" x14ac:dyDescent="0.25">
      <c r="A9" s="2" t="s">
        <v>14</v>
      </c>
      <c r="B9">
        <v>5250</v>
      </c>
      <c r="D9" s="2" t="s">
        <v>14</v>
      </c>
      <c r="E9">
        <v>1381460.3199999998</v>
      </c>
      <c r="G9" s="2" t="s">
        <v>14</v>
      </c>
      <c r="H9">
        <v>55258.412799999991</v>
      </c>
    </row>
    <row r="10" spans="1:16" x14ac:dyDescent="0.25">
      <c r="A10" s="2" t="s">
        <v>24</v>
      </c>
      <c r="B10">
        <v>8974</v>
      </c>
      <c r="D10" s="2" t="s">
        <v>24</v>
      </c>
      <c r="E10">
        <v>2010373.4799999997</v>
      </c>
      <c r="G10" s="2" t="s">
        <v>24</v>
      </c>
      <c r="H10">
        <v>59128.631764705875</v>
      </c>
    </row>
    <row r="11" spans="1:16" x14ac:dyDescent="0.25">
      <c r="A11" s="2" t="s">
        <v>222</v>
      </c>
      <c r="B11">
        <v>24402</v>
      </c>
      <c r="D11" s="2" t="s">
        <v>222</v>
      </c>
      <c r="E11">
        <v>5943897.1300000027</v>
      </c>
      <c r="G11" s="2" t="s">
        <v>222</v>
      </c>
      <c r="H11">
        <v>59438.971300000027</v>
      </c>
    </row>
    <row r="30" spans="1:17" x14ac:dyDescent="0.25">
      <c r="A30" s="1" t="s">
        <v>228</v>
      </c>
      <c r="B30" t="s">
        <v>223</v>
      </c>
      <c r="D30" s="1" t="s">
        <v>228</v>
      </c>
      <c r="E30" t="s">
        <v>224</v>
      </c>
      <c r="G30" s="1" t="s">
        <v>223</v>
      </c>
      <c r="H30" s="1" t="s">
        <v>231</v>
      </c>
      <c r="J30" s="1" t="s">
        <v>228</v>
      </c>
      <c r="K30" t="s">
        <v>223</v>
      </c>
      <c r="M30" s="1" t="s">
        <v>228</v>
      </c>
      <c r="N30" t="s">
        <v>224</v>
      </c>
      <c r="P30" s="1" t="s">
        <v>228</v>
      </c>
      <c r="Q30" t="s">
        <v>233</v>
      </c>
    </row>
    <row r="31" spans="1:17" x14ac:dyDescent="0.25">
      <c r="A31" s="2" t="s">
        <v>27</v>
      </c>
      <c r="B31">
        <v>9914</v>
      </c>
      <c r="D31" s="2" t="s">
        <v>27</v>
      </c>
      <c r="E31">
        <v>2514335.38</v>
      </c>
      <c r="G31" s="1" t="s">
        <v>228</v>
      </c>
      <c r="H31" t="s">
        <v>226</v>
      </c>
      <c r="I31" t="s">
        <v>229</v>
      </c>
      <c r="J31" s="2" t="s">
        <v>17</v>
      </c>
      <c r="K31">
        <v>7868</v>
      </c>
      <c r="M31" s="2" t="s">
        <v>17</v>
      </c>
      <c r="N31">
        <v>1967566.4199999995</v>
      </c>
      <c r="P31" s="2" t="s">
        <v>17</v>
      </c>
      <c r="Q31">
        <v>59623.224848484831</v>
      </c>
    </row>
    <row r="32" spans="1:17" x14ac:dyDescent="0.25">
      <c r="A32" s="2" t="s">
        <v>18</v>
      </c>
      <c r="B32">
        <v>8738</v>
      </c>
      <c r="D32" s="2" t="s">
        <v>18</v>
      </c>
      <c r="E32">
        <v>1892106.69</v>
      </c>
      <c r="G32" s="2" t="s">
        <v>27</v>
      </c>
      <c r="H32">
        <v>858</v>
      </c>
      <c r="I32">
        <v>9056</v>
      </c>
      <c r="J32" s="2" t="s">
        <v>34</v>
      </c>
      <c r="K32">
        <v>9048</v>
      </c>
      <c r="M32" s="2" t="s">
        <v>34</v>
      </c>
      <c r="N32">
        <v>2307882.8099999996</v>
      </c>
      <c r="P32" s="2" t="s">
        <v>34</v>
      </c>
      <c r="Q32">
        <v>64107.85583333332</v>
      </c>
    </row>
    <row r="33" spans="1:17" x14ac:dyDescent="0.25">
      <c r="A33" s="2" t="s">
        <v>13</v>
      </c>
      <c r="B33">
        <v>5750</v>
      </c>
      <c r="D33" s="2" t="s">
        <v>13</v>
      </c>
      <c r="E33">
        <v>1537455.0599999996</v>
      </c>
      <c r="G33" s="2" t="s">
        <v>18</v>
      </c>
      <c r="H33">
        <v>1024</v>
      </c>
      <c r="I33">
        <v>7714</v>
      </c>
      <c r="J33" s="2" t="s">
        <v>12</v>
      </c>
      <c r="K33">
        <v>7486</v>
      </c>
      <c r="M33" s="2" t="s">
        <v>12</v>
      </c>
      <c r="N33">
        <v>1668447.8999999997</v>
      </c>
      <c r="P33" s="2" t="s">
        <v>12</v>
      </c>
      <c r="Q33">
        <v>53820.899999999987</v>
      </c>
    </row>
    <row r="34" spans="1:17" x14ac:dyDescent="0.25">
      <c r="A34" s="2" t="s">
        <v>222</v>
      </c>
      <c r="B34">
        <v>24402</v>
      </c>
      <c r="D34" s="2" t="s">
        <v>222</v>
      </c>
      <c r="E34">
        <v>5943897.1300000027</v>
      </c>
      <c r="G34" s="2" t="s">
        <v>13</v>
      </c>
      <c r="H34">
        <v>689</v>
      </c>
      <c r="I34">
        <v>5061</v>
      </c>
      <c r="J34" s="2" t="s">
        <v>222</v>
      </c>
      <c r="K34">
        <v>24402</v>
      </c>
      <c r="M34" s="2" t="s">
        <v>222</v>
      </c>
      <c r="N34">
        <v>5943897.1300000027</v>
      </c>
      <c r="P34" s="2" t="s">
        <v>222</v>
      </c>
      <c r="Q34">
        <v>59438.971300000027</v>
      </c>
    </row>
    <row r="35" spans="1:17" x14ac:dyDescent="0.25">
      <c r="G35" s="2" t="s">
        <v>222</v>
      </c>
      <c r="H35">
        <v>2571</v>
      </c>
      <c r="I35">
        <v>21831</v>
      </c>
    </row>
    <row r="57" spans="1:8" x14ac:dyDescent="0.25">
      <c r="A57" s="1" t="s">
        <v>228</v>
      </c>
      <c r="B57" t="s">
        <v>230</v>
      </c>
      <c r="D57" s="1" t="s">
        <v>228</v>
      </c>
      <c r="E57" t="s">
        <v>223</v>
      </c>
      <c r="G57" s="1" t="s">
        <v>228</v>
      </c>
      <c r="H57" t="s">
        <v>224</v>
      </c>
    </row>
    <row r="58" spans="1:8" x14ac:dyDescent="0.25">
      <c r="A58" s="2" t="s">
        <v>140</v>
      </c>
      <c r="B58">
        <v>148</v>
      </c>
      <c r="D58" s="2" t="s">
        <v>130</v>
      </c>
      <c r="E58">
        <v>240</v>
      </c>
      <c r="G58" s="2" t="s">
        <v>11</v>
      </c>
      <c r="H58">
        <v>54137.200000000004</v>
      </c>
    </row>
    <row r="59" spans="1:8" x14ac:dyDescent="0.25">
      <c r="A59" s="2" t="s">
        <v>56</v>
      </c>
      <c r="B59">
        <v>150</v>
      </c>
      <c r="D59" s="2" t="s">
        <v>44</v>
      </c>
      <c r="E59">
        <v>240</v>
      </c>
      <c r="G59" s="2" t="s">
        <v>38</v>
      </c>
      <c r="H59">
        <v>95424.72</v>
      </c>
    </row>
    <row r="60" spans="1:8" x14ac:dyDescent="0.25">
      <c r="A60" s="2" t="s">
        <v>23</v>
      </c>
      <c r="B60">
        <v>152</v>
      </c>
      <c r="D60" s="2" t="s">
        <v>146</v>
      </c>
      <c r="E60">
        <v>240</v>
      </c>
      <c r="G60" s="2" t="s">
        <v>218</v>
      </c>
      <c r="H60">
        <v>208403.65</v>
      </c>
    </row>
    <row r="61" spans="1:8" x14ac:dyDescent="0.25">
      <c r="A61" s="2" t="s">
        <v>132</v>
      </c>
      <c r="B61">
        <v>153</v>
      </c>
      <c r="D61" s="2" t="s">
        <v>148</v>
      </c>
      <c r="E61">
        <v>246</v>
      </c>
      <c r="G61" s="2" t="s">
        <v>40</v>
      </c>
      <c r="H61">
        <v>122450.4</v>
      </c>
    </row>
    <row r="62" spans="1:8" x14ac:dyDescent="0.25">
      <c r="A62" s="2" t="s">
        <v>186</v>
      </c>
      <c r="B62">
        <v>153</v>
      </c>
      <c r="D62" s="2" t="s">
        <v>132</v>
      </c>
      <c r="E62">
        <v>250</v>
      </c>
      <c r="G62" s="2" t="s">
        <v>42</v>
      </c>
      <c r="H62">
        <v>109794.97</v>
      </c>
    </row>
    <row r="63" spans="1:8" x14ac:dyDescent="0.25">
      <c r="A63" s="2" t="s">
        <v>200</v>
      </c>
      <c r="B63">
        <v>159</v>
      </c>
      <c r="D63" s="2" t="s">
        <v>166</v>
      </c>
      <c r="E63">
        <v>252</v>
      </c>
      <c r="G63" s="2" t="s">
        <v>44</v>
      </c>
      <c r="H63">
        <v>42789.599999999999</v>
      </c>
    </row>
    <row r="64" spans="1:8" x14ac:dyDescent="0.25">
      <c r="A64" s="2" t="s">
        <v>148</v>
      </c>
      <c r="B64">
        <v>161</v>
      </c>
      <c r="D64" s="2" t="s">
        <v>102</v>
      </c>
      <c r="E64">
        <v>264</v>
      </c>
      <c r="G64" s="2" t="s">
        <v>46</v>
      </c>
      <c r="H64">
        <v>16216.5</v>
      </c>
    </row>
    <row r="65" spans="1:8" x14ac:dyDescent="0.25">
      <c r="A65" s="2" t="s">
        <v>190</v>
      </c>
      <c r="B65">
        <v>161</v>
      </c>
      <c r="D65" s="2" t="s">
        <v>96</v>
      </c>
      <c r="E65">
        <v>266</v>
      </c>
      <c r="G65" s="2" t="s">
        <v>48</v>
      </c>
      <c r="H65">
        <v>12436.44</v>
      </c>
    </row>
    <row r="66" spans="1:8" x14ac:dyDescent="0.25">
      <c r="A66" s="2" t="s">
        <v>40</v>
      </c>
      <c r="B66">
        <v>162</v>
      </c>
      <c r="D66" s="2" t="s">
        <v>40</v>
      </c>
      <c r="E66">
        <v>270</v>
      </c>
      <c r="G66" s="2" t="s">
        <v>50</v>
      </c>
      <c r="H66">
        <v>62317.440000000002</v>
      </c>
    </row>
    <row r="67" spans="1:8" x14ac:dyDescent="0.25">
      <c r="A67" s="2" t="s">
        <v>152</v>
      </c>
      <c r="B67">
        <v>162</v>
      </c>
      <c r="D67" s="2" t="s">
        <v>56</v>
      </c>
      <c r="E67">
        <v>277</v>
      </c>
      <c r="G67" s="2" t="s">
        <v>52</v>
      </c>
      <c r="H67">
        <v>24977.399999999998</v>
      </c>
    </row>
    <row r="68" spans="1:8" x14ac:dyDescent="0.25">
      <c r="A68" s="2" t="s">
        <v>54</v>
      </c>
      <c r="B68">
        <v>162</v>
      </c>
      <c r="D68" s="2" t="s">
        <v>108</v>
      </c>
      <c r="E68">
        <v>292</v>
      </c>
      <c r="G68" s="2" t="s">
        <v>54</v>
      </c>
      <c r="H68">
        <v>84957.7</v>
      </c>
    </row>
    <row r="69" spans="1:8" x14ac:dyDescent="0.25">
      <c r="A69" s="2" t="s">
        <v>58</v>
      </c>
      <c r="B69">
        <v>162</v>
      </c>
      <c r="D69" s="2" t="s">
        <v>216</v>
      </c>
      <c r="E69">
        <v>292</v>
      </c>
      <c r="G69" s="2" t="s">
        <v>56</v>
      </c>
      <c r="H69">
        <v>79814.78</v>
      </c>
    </row>
    <row r="70" spans="1:8" x14ac:dyDescent="0.25">
      <c r="A70" s="2" t="s">
        <v>62</v>
      </c>
      <c r="B70">
        <v>162</v>
      </c>
      <c r="D70" s="2" t="s">
        <v>170</v>
      </c>
      <c r="E70">
        <v>293</v>
      </c>
      <c r="G70" s="2" t="s">
        <v>16</v>
      </c>
      <c r="H70">
        <v>174059.47</v>
      </c>
    </row>
    <row r="71" spans="1:8" x14ac:dyDescent="0.25">
      <c r="A71" s="2" t="s">
        <v>184</v>
      </c>
      <c r="B71">
        <v>162</v>
      </c>
      <c r="D71" s="2" t="s">
        <v>184</v>
      </c>
      <c r="E71">
        <v>293</v>
      </c>
      <c r="G71" s="2" t="s">
        <v>58</v>
      </c>
      <c r="H71">
        <v>164578.61000000002</v>
      </c>
    </row>
    <row r="72" spans="1:8" x14ac:dyDescent="0.25">
      <c r="A72" s="2" t="s">
        <v>16</v>
      </c>
      <c r="B72">
        <v>165</v>
      </c>
      <c r="D72" s="2" t="s">
        <v>194</v>
      </c>
      <c r="E72">
        <v>295</v>
      </c>
      <c r="G72" s="2" t="s">
        <v>60</v>
      </c>
      <c r="H72">
        <v>1116.3599999999999</v>
      </c>
    </row>
    <row r="73" spans="1:8" x14ac:dyDescent="0.25">
      <c r="A73" s="2" t="s">
        <v>94</v>
      </c>
      <c r="B73">
        <v>165</v>
      </c>
      <c r="D73" s="2" t="s">
        <v>36</v>
      </c>
      <c r="E73">
        <v>298</v>
      </c>
      <c r="G73" s="2" t="s">
        <v>62</v>
      </c>
      <c r="H73">
        <v>28346.100000000002</v>
      </c>
    </row>
    <row r="74" spans="1:8" x14ac:dyDescent="0.25">
      <c r="A74" s="2" t="s">
        <v>180</v>
      </c>
      <c r="B74">
        <v>165</v>
      </c>
      <c r="D74" s="2" t="s">
        <v>70</v>
      </c>
      <c r="E74">
        <v>302</v>
      </c>
      <c r="G74" s="2" t="s">
        <v>64</v>
      </c>
      <c r="H74">
        <v>98849.919999999998</v>
      </c>
    </row>
    <row r="75" spans="1:8" x14ac:dyDescent="0.25">
      <c r="A75" s="2" t="s">
        <v>36</v>
      </c>
      <c r="B75">
        <v>167</v>
      </c>
      <c r="D75" s="2" t="s">
        <v>162</v>
      </c>
      <c r="E75">
        <v>336</v>
      </c>
      <c r="G75" s="2" t="s">
        <v>66</v>
      </c>
      <c r="H75">
        <v>10179.98</v>
      </c>
    </row>
    <row r="76" spans="1:8" x14ac:dyDescent="0.25">
      <c r="A76" s="2" t="s">
        <v>178</v>
      </c>
      <c r="B76">
        <v>169</v>
      </c>
      <c r="D76" s="2" t="s">
        <v>54</v>
      </c>
      <c r="E76">
        <v>337</v>
      </c>
      <c r="G76" s="2" t="s">
        <v>68</v>
      </c>
      <c r="H76">
        <v>99524.25</v>
      </c>
    </row>
    <row r="77" spans="1:8" x14ac:dyDescent="0.25">
      <c r="A77" s="2" t="s">
        <v>11</v>
      </c>
      <c r="B77">
        <v>170</v>
      </c>
      <c r="D77" s="2" t="s">
        <v>198</v>
      </c>
      <c r="E77">
        <v>340</v>
      </c>
      <c r="G77" s="2" t="s">
        <v>70</v>
      </c>
      <c r="H77">
        <v>113286.24</v>
      </c>
    </row>
    <row r="78" spans="1:8" x14ac:dyDescent="0.25">
      <c r="A78" s="2" t="s">
        <v>84</v>
      </c>
      <c r="B78">
        <v>172</v>
      </c>
      <c r="D78" s="2" t="s">
        <v>192</v>
      </c>
      <c r="E78">
        <v>349</v>
      </c>
      <c r="G78" s="2" t="s">
        <v>72</v>
      </c>
      <c r="H78">
        <v>51491.159999999996</v>
      </c>
    </row>
    <row r="79" spans="1:8" x14ac:dyDescent="0.25">
      <c r="A79" s="2" t="s">
        <v>104</v>
      </c>
      <c r="B79">
        <v>173</v>
      </c>
      <c r="D79" s="2" t="s">
        <v>116</v>
      </c>
      <c r="E79">
        <v>355</v>
      </c>
      <c r="G79" s="2" t="s">
        <v>74</v>
      </c>
      <c r="H79">
        <v>30538.32</v>
      </c>
    </row>
    <row r="80" spans="1:8" x14ac:dyDescent="0.25">
      <c r="A80" s="2" t="s">
        <v>76</v>
      </c>
      <c r="B80">
        <v>175</v>
      </c>
      <c r="D80" s="2" t="s">
        <v>202</v>
      </c>
      <c r="E80">
        <v>357</v>
      </c>
      <c r="G80" s="2" t="s">
        <v>76</v>
      </c>
      <c r="H80">
        <v>102810.78</v>
      </c>
    </row>
    <row r="81" spans="1:8" x14ac:dyDescent="0.25">
      <c r="A81" s="2" t="s">
        <v>198</v>
      </c>
      <c r="B81">
        <v>177</v>
      </c>
      <c r="D81" s="2" t="s">
        <v>128</v>
      </c>
      <c r="E81">
        <v>361</v>
      </c>
      <c r="G81" s="2" t="s">
        <v>21</v>
      </c>
      <c r="H81">
        <v>11339.28</v>
      </c>
    </row>
    <row r="82" spans="1:8" x14ac:dyDescent="0.25">
      <c r="A82" s="2" t="s">
        <v>218</v>
      </c>
      <c r="B82">
        <v>177</v>
      </c>
      <c r="D82" s="2" t="s">
        <v>106</v>
      </c>
      <c r="E82">
        <v>368</v>
      </c>
      <c r="G82" s="2" t="s">
        <v>78</v>
      </c>
      <c r="H82">
        <v>64286.439999999995</v>
      </c>
    </row>
    <row r="83" spans="1:8" x14ac:dyDescent="0.25">
      <c r="A83" s="2" t="s">
        <v>126</v>
      </c>
      <c r="B83">
        <v>177</v>
      </c>
      <c r="D83" s="2" t="s">
        <v>76</v>
      </c>
      <c r="E83">
        <v>369</v>
      </c>
      <c r="G83" s="2" t="s">
        <v>80</v>
      </c>
      <c r="H83">
        <v>237285.84</v>
      </c>
    </row>
    <row r="84" spans="1:8" x14ac:dyDescent="0.25">
      <c r="A84" s="2" t="s">
        <v>156</v>
      </c>
      <c r="B84">
        <v>178</v>
      </c>
      <c r="D84" s="2" t="s">
        <v>214</v>
      </c>
      <c r="E84">
        <v>386</v>
      </c>
      <c r="G84" s="2" t="s">
        <v>82</v>
      </c>
      <c r="H84">
        <v>1861.1999999999998</v>
      </c>
    </row>
    <row r="85" spans="1:8" x14ac:dyDescent="0.25">
      <c r="A85" s="2" t="s">
        <v>72</v>
      </c>
      <c r="B85">
        <v>178</v>
      </c>
      <c r="D85" s="2" t="s">
        <v>38</v>
      </c>
      <c r="E85">
        <v>388</v>
      </c>
      <c r="G85" s="2" t="s">
        <v>84</v>
      </c>
      <c r="H85">
        <v>71594.559999999998</v>
      </c>
    </row>
    <row r="86" spans="1:8" x14ac:dyDescent="0.25">
      <c r="A86" s="2" t="s">
        <v>134</v>
      </c>
      <c r="B86">
        <v>178</v>
      </c>
      <c r="D86" s="2" t="s">
        <v>120</v>
      </c>
      <c r="E86">
        <v>389</v>
      </c>
      <c r="G86" s="2" t="s">
        <v>86</v>
      </c>
      <c r="H86">
        <v>23482</v>
      </c>
    </row>
    <row r="87" spans="1:8" x14ac:dyDescent="0.25">
      <c r="A87" s="2" t="s">
        <v>50</v>
      </c>
      <c r="B87">
        <v>179</v>
      </c>
      <c r="D87" s="2" t="s">
        <v>212</v>
      </c>
      <c r="E87">
        <v>394</v>
      </c>
      <c r="G87" s="2" t="s">
        <v>88</v>
      </c>
      <c r="H87">
        <v>15169</v>
      </c>
    </row>
    <row r="88" spans="1:8" x14ac:dyDescent="0.25">
      <c r="A88" s="2" t="s">
        <v>78</v>
      </c>
      <c r="B88">
        <v>179</v>
      </c>
      <c r="D88" s="2" t="s">
        <v>138</v>
      </c>
      <c r="E88">
        <v>397</v>
      </c>
      <c r="G88" s="2" t="s">
        <v>90</v>
      </c>
      <c r="H88">
        <v>107892.40000000001</v>
      </c>
    </row>
    <row r="89" spans="1:8" x14ac:dyDescent="0.25">
      <c r="A89" s="2" t="s">
        <v>66</v>
      </c>
      <c r="B89">
        <v>179</v>
      </c>
      <c r="D89" s="2" t="s">
        <v>29</v>
      </c>
      <c r="E89">
        <v>401</v>
      </c>
      <c r="G89" s="2" t="s">
        <v>92</v>
      </c>
      <c r="H89">
        <v>89245.08</v>
      </c>
    </row>
    <row r="90" spans="1:8" x14ac:dyDescent="0.25">
      <c r="A90" s="2" t="s">
        <v>172</v>
      </c>
      <c r="B90">
        <v>180</v>
      </c>
      <c r="D90" s="2" t="s">
        <v>110</v>
      </c>
      <c r="E90">
        <v>402</v>
      </c>
      <c r="G90" s="2" t="s">
        <v>94</v>
      </c>
      <c r="H90">
        <v>28051.8</v>
      </c>
    </row>
    <row r="91" spans="1:8" x14ac:dyDescent="0.25">
      <c r="A91" s="2" t="s">
        <v>52</v>
      </c>
      <c r="B91">
        <v>180</v>
      </c>
      <c r="D91" s="2" t="s">
        <v>104</v>
      </c>
      <c r="E91">
        <v>407</v>
      </c>
      <c r="G91" s="2" t="s">
        <v>96</v>
      </c>
      <c r="H91">
        <v>112488.73999999999</v>
      </c>
    </row>
    <row r="92" spans="1:8" x14ac:dyDescent="0.25">
      <c r="A92" s="2" t="s">
        <v>26</v>
      </c>
      <c r="B92">
        <v>186</v>
      </c>
      <c r="D92" s="2" t="s">
        <v>144</v>
      </c>
      <c r="E92">
        <v>416</v>
      </c>
      <c r="G92" s="2" t="s">
        <v>23</v>
      </c>
      <c r="H92">
        <v>40486.879999999997</v>
      </c>
    </row>
    <row r="93" spans="1:8" x14ac:dyDescent="0.25">
      <c r="A93" s="2" t="s">
        <v>98</v>
      </c>
      <c r="B93">
        <v>188</v>
      </c>
      <c r="D93" s="2" t="s">
        <v>64</v>
      </c>
      <c r="E93">
        <v>416</v>
      </c>
      <c r="G93" s="2" t="s">
        <v>98</v>
      </c>
      <c r="H93">
        <v>6515.04</v>
      </c>
    </row>
    <row r="94" spans="1:8" x14ac:dyDescent="0.25">
      <c r="A94" s="2" t="s">
        <v>160</v>
      </c>
      <c r="B94">
        <v>189</v>
      </c>
      <c r="D94" s="2" t="s">
        <v>58</v>
      </c>
      <c r="E94">
        <v>427</v>
      </c>
      <c r="G94" s="2" t="s">
        <v>100</v>
      </c>
      <c r="H94">
        <v>9048.2199999999993</v>
      </c>
    </row>
    <row r="95" spans="1:8" x14ac:dyDescent="0.25">
      <c r="A95" s="2" t="s">
        <v>210</v>
      </c>
      <c r="B95">
        <v>191</v>
      </c>
      <c r="D95" s="2" t="s">
        <v>33</v>
      </c>
      <c r="E95">
        <v>428</v>
      </c>
      <c r="G95" s="2" t="s">
        <v>102</v>
      </c>
      <c r="H95">
        <v>28620.239999999998</v>
      </c>
    </row>
    <row r="96" spans="1:8" x14ac:dyDescent="0.25">
      <c r="A96" s="2" t="s">
        <v>144</v>
      </c>
      <c r="B96">
        <v>193</v>
      </c>
      <c r="D96" s="2" t="s">
        <v>90</v>
      </c>
      <c r="E96">
        <v>440</v>
      </c>
      <c r="G96" s="2" t="s">
        <v>104</v>
      </c>
      <c r="H96">
        <v>137248.54</v>
      </c>
    </row>
    <row r="97" spans="1:8" x14ac:dyDescent="0.25">
      <c r="A97" s="2" t="s">
        <v>100</v>
      </c>
      <c r="B97">
        <v>193</v>
      </c>
      <c r="D97" s="2" t="s">
        <v>180</v>
      </c>
      <c r="E97">
        <v>450</v>
      </c>
      <c r="G97" s="2" t="s">
        <v>106</v>
      </c>
      <c r="H97">
        <v>67171.039999999994</v>
      </c>
    </row>
    <row r="98" spans="1:8" x14ac:dyDescent="0.25">
      <c r="A98" s="2" t="s">
        <v>86</v>
      </c>
      <c r="B98">
        <v>194</v>
      </c>
      <c r="D98" s="2" t="s">
        <v>218</v>
      </c>
      <c r="E98">
        <v>455</v>
      </c>
      <c r="G98" s="2" t="s">
        <v>108</v>
      </c>
      <c r="H98">
        <v>38196.520000000004</v>
      </c>
    </row>
    <row r="99" spans="1:8" x14ac:dyDescent="0.25">
      <c r="A99" s="2" t="s">
        <v>196</v>
      </c>
      <c r="B99">
        <v>195</v>
      </c>
      <c r="D99" s="2" t="s">
        <v>196</v>
      </c>
      <c r="E99">
        <v>455</v>
      </c>
      <c r="G99" s="2" t="s">
        <v>110</v>
      </c>
      <c r="H99">
        <v>60770.34</v>
      </c>
    </row>
    <row r="100" spans="1:8" x14ac:dyDescent="0.25">
      <c r="A100" s="2" t="s">
        <v>114</v>
      </c>
      <c r="B100">
        <v>196</v>
      </c>
      <c r="D100" s="2" t="s">
        <v>84</v>
      </c>
      <c r="E100">
        <v>458</v>
      </c>
      <c r="G100" s="2" t="s">
        <v>112</v>
      </c>
      <c r="H100">
        <v>35566.559999999998</v>
      </c>
    </row>
    <row r="101" spans="1:8" x14ac:dyDescent="0.25">
      <c r="A101" s="2" t="s">
        <v>168</v>
      </c>
      <c r="B101">
        <v>196</v>
      </c>
      <c r="D101" s="2" t="s">
        <v>122</v>
      </c>
      <c r="E101">
        <v>470</v>
      </c>
      <c r="G101" s="2" t="s">
        <v>114</v>
      </c>
      <c r="H101">
        <v>10202.16</v>
      </c>
    </row>
    <row r="102" spans="1:8" x14ac:dyDescent="0.25">
      <c r="A102" s="2" t="s">
        <v>74</v>
      </c>
      <c r="B102">
        <v>196</v>
      </c>
      <c r="D102" s="2" t="s">
        <v>92</v>
      </c>
      <c r="E102">
        <v>471</v>
      </c>
      <c r="G102" s="2" t="s">
        <v>116</v>
      </c>
      <c r="H102">
        <v>25783.649999999998</v>
      </c>
    </row>
    <row r="103" spans="1:8" x14ac:dyDescent="0.25">
      <c r="A103" s="2" t="s">
        <v>118</v>
      </c>
      <c r="B103">
        <v>196</v>
      </c>
      <c r="D103" s="2" t="s">
        <v>16</v>
      </c>
      <c r="E103">
        <v>481</v>
      </c>
      <c r="G103" s="2" t="s">
        <v>26</v>
      </c>
      <c r="H103">
        <v>23117.4</v>
      </c>
    </row>
    <row r="104" spans="1:8" x14ac:dyDescent="0.25">
      <c r="A104" s="2" t="s">
        <v>112</v>
      </c>
      <c r="B104">
        <v>197</v>
      </c>
      <c r="D104" s="2" t="s">
        <v>204</v>
      </c>
      <c r="E104">
        <v>482</v>
      </c>
      <c r="G104" s="2" t="s">
        <v>118</v>
      </c>
      <c r="H104">
        <v>18151.41</v>
      </c>
    </row>
    <row r="105" spans="1:8" x14ac:dyDescent="0.25">
      <c r="A105" s="2" t="s">
        <v>174</v>
      </c>
      <c r="B105">
        <v>197</v>
      </c>
      <c r="D105" s="2" t="s">
        <v>80</v>
      </c>
      <c r="E105">
        <v>484</v>
      </c>
      <c r="G105" s="2" t="s">
        <v>120</v>
      </c>
      <c r="H105">
        <v>108394.84999999999</v>
      </c>
    </row>
    <row r="106" spans="1:8" x14ac:dyDescent="0.25">
      <c r="A106" s="2" t="s">
        <v>120</v>
      </c>
      <c r="B106">
        <v>197</v>
      </c>
      <c r="D106" s="2" t="s">
        <v>142</v>
      </c>
      <c r="E106">
        <v>494</v>
      </c>
      <c r="G106" s="2" t="s">
        <v>122</v>
      </c>
      <c r="H106">
        <v>71331.900000000009</v>
      </c>
    </row>
    <row r="107" spans="1:8" x14ac:dyDescent="0.25">
      <c r="A107" s="2" t="s">
        <v>216</v>
      </c>
      <c r="B107">
        <v>197</v>
      </c>
      <c r="D107" s="2" t="s">
        <v>42</v>
      </c>
      <c r="E107">
        <v>499</v>
      </c>
      <c r="G107" s="2" t="s">
        <v>124</v>
      </c>
      <c r="H107">
        <v>40004.519999999997</v>
      </c>
    </row>
    <row r="108" spans="1:8" x14ac:dyDescent="0.25">
      <c r="A108" s="2" t="s">
        <v>222</v>
      </c>
      <c r="B108">
        <v>8793</v>
      </c>
      <c r="D108" s="2" t="s">
        <v>222</v>
      </c>
      <c r="E108">
        <v>18272</v>
      </c>
      <c r="G108" s="2" t="s">
        <v>126</v>
      </c>
      <c r="H108">
        <v>9491.0399999999991</v>
      </c>
    </row>
    <row r="109" spans="1:8" x14ac:dyDescent="0.25">
      <c r="G109" s="2" t="s">
        <v>128</v>
      </c>
      <c r="H109">
        <v>111079.7</v>
      </c>
    </row>
    <row r="110" spans="1:8" x14ac:dyDescent="0.25">
      <c r="G110" s="2" t="s">
        <v>130</v>
      </c>
      <c r="H110">
        <v>10893.6</v>
      </c>
    </row>
    <row r="111" spans="1:8" x14ac:dyDescent="0.25">
      <c r="G111" s="2" t="s">
        <v>132</v>
      </c>
      <c r="H111">
        <v>1892.5</v>
      </c>
    </row>
    <row r="112" spans="1:8" x14ac:dyDescent="0.25">
      <c r="G112" s="2" t="s">
        <v>134</v>
      </c>
      <c r="H112">
        <v>19264.41</v>
      </c>
    </row>
    <row r="113" spans="7:8" x14ac:dyDescent="0.25">
      <c r="G113" s="2" t="s">
        <v>136</v>
      </c>
      <c r="H113">
        <v>10622.85</v>
      </c>
    </row>
    <row r="114" spans="7:8" x14ac:dyDescent="0.25">
      <c r="G114" s="2" t="s">
        <v>29</v>
      </c>
      <c r="H114">
        <v>128311.98000000001</v>
      </c>
    </row>
    <row r="115" spans="7:8" x14ac:dyDescent="0.25">
      <c r="G115" s="2" t="s">
        <v>138</v>
      </c>
      <c r="H115">
        <v>15927.64</v>
      </c>
    </row>
    <row r="116" spans="7:8" x14ac:dyDescent="0.25">
      <c r="G116" s="2" t="s">
        <v>140</v>
      </c>
      <c r="H116">
        <v>46525.71</v>
      </c>
    </row>
    <row r="117" spans="7:8" x14ac:dyDescent="0.25">
      <c r="G117" s="2" t="s">
        <v>142</v>
      </c>
      <c r="H117">
        <v>14884.22</v>
      </c>
    </row>
    <row r="118" spans="7:8" x14ac:dyDescent="0.25">
      <c r="G118" s="2" t="s">
        <v>144</v>
      </c>
      <c r="H118">
        <v>184654.07999999999</v>
      </c>
    </row>
    <row r="119" spans="7:8" x14ac:dyDescent="0.25">
      <c r="G119" s="2" t="s">
        <v>146</v>
      </c>
      <c r="H119">
        <v>4480.8</v>
      </c>
    </row>
    <row r="120" spans="7:8" x14ac:dyDescent="0.25">
      <c r="G120" s="2" t="s">
        <v>148</v>
      </c>
      <c r="H120">
        <v>71718.840000000011</v>
      </c>
    </row>
    <row r="121" spans="7:8" x14ac:dyDescent="0.25">
      <c r="G121" s="2" t="s">
        <v>150</v>
      </c>
      <c r="H121">
        <v>33750.080000000002</v>
      </c>
    </row>
    <row r="122" spans="7:8" x14ac:dyDescent="0.25">
      <c r="G122" s="2" t="s">
        <v>152</v>
      </c>
      <c r="H122">
        <v>60776.999999999993</v>
      </c>
    </row>
    <row r="123" spans="7:8" x14ac:dyDescent="0.25">
      <c r="G123" s="2" t="s">
        <v>154</v>
      </c>
      <c r="H123">
        <v>6362.72</v>
      </c>
    </row>
    <row r="124" spans="7:8" x14ac:dyDescent="0.25">
      <c r="G124" s="2" t="s">
        <v>156</v>
      </c>
      <c r="H124">
        <v>3678.75</v>
      </c>
    </row>
    <row r="125" spans="7:8" x14ac:dyDescent="0.25">
      <c r="G125" s="2" t="s">
        <v>31</v>
      </c>
      <c r="H125">
        <v>22184.559999999998</v>
      </c>
    </row>
    <row r="126" spans="7:8" x14ac:dyDescent="0.25">
      <c r="G126" s="2" t="s">
        <v>158</v>
      </c>
      <c r="H126">
        <v>10802.22</v>
      </c>
    </row>
    <row r="127" spans="7:8" x14ac:dyDescent="0.25">
      <c r="G127" s="2" t="s">
        <v>160</v>
      </c>
      <c r="H127">
        <v>71025.62999999999</v>
      </c>
    </row>
    <row r="128" spans="7:8" x14ac:dyDescent="0.25">
      <c r="G128" s="2" t="s">
        <v>162</v>
      </c>
      <c r="H128">
        <v>144782.39999999999</v>
      </c>
    </row>
    <row r="129" spans="7:8" x14ac:dyDescent="0.25">
      <c r="G129" s="2" t="s">
        <v>164</v>
      </c>
      <c r="H129">
        <v>25258.52</v>
      </c>
    </row>
    <row r="130" spans="7:8" x14ac:dyDescent="0.25">
      <c r="G130" s="2" t="s">
        <v>166</v>
      </c>
      <c r="H130">
        <v>6103.44</v>
      </c>
    </row>
    <row r="131" spans="7:8" x14ac:dyDescent="0.25">
      <c r="G131" s="2" t="s">
        <v>168</v>
      </c>
      <c r="H131">
        <v>14736.4</v>
      </c>
    </row>
    <row r="132" spans="7:8" x14ac:dyDescent="0.25">
      <c r="G132" s="2" t="s">
        <v>170</v>
      </c>
      <c r="H132">
        <v>79361.98000000001</v>
      </c>
    </row>
    <row r="133" spans="7:8" x14ac:dyDescent="0.25">
      <c r="G133" s="2" t="s">
        <v>172</v>
      </c>
      <c r="H133">
        <v>12501.75</v>
      </c>
    </row>
    <row r="134" spans="7:8" x14ac:dyDescent="0.25">
      <c r="G134" s="2" t="s">
        <v>174</v>
      </c>
      <c r="H134">
        <v>74249.2</v>
      </c>
    </row>
    <row r="135" spans="7:8" x14ac:dyDescent="0.25">
      <c r="G135" s="2" t="s">
        <v>176</v>
      </c>
      <c r="H135">
        <v>7528.1399999999994</v>
      </c>
    </row>
    <row r="136" spans="7:8" x14ac:dyDescent="0.25">
      <c r="G136" s="2" t="s">
        <v>33</v>
      </c>
      <c r="H136">
        <v>127111.72</v>
      </c>
    </row>
    <row r="137" spans="7:8" x14ac:dyDescent="0.25">
      <c r="G137" s="2" t="s">
        <v>178</v>
      </c>
      <c r="H137">
        <v>34278.800000000003</v>
      </c>
    </row>
    <row r="138" spans="7:8" x14ac:dyDescent="0.25">
      <c r="G138" s="2" t="s">
        <v>180</v>
      </c>
      <c r="H138">
        <v>104107.5</v>
      </c>
    </row>
    <row r="139" spans="7:8" x14ac:dyDescent="0.25">
      <c r="G139" s="2" t="s">
        <v>182</v>
      </c>
      <c r="H139">
        <v>60317.4</v>
      </c>
    </row>
    <row r="140" spans="7:8" x14ac:dyDescent="0.25">
      <c r="G140" s="2" t="s">
        <v>184</v>
      </c>
      <c r="H140">
        <v>29657.46</v>
      </c>
    </row>
    <row r="141" spans="7:8" x14ac:dyDescent="0.25">
      <c r="G141" s="2" t="s">
        <v>186</v>
      </c>
      <c r="H141">
        <v>7718.9400000000005</v>
      </c>
    </row>
    <row r="142" spans="7:8" x14ac:dyDescent="0.25">
      <c r="G142" s="2" t="s">
        <v>188</v>
      </c>
      <c r="H142">
        <v>41097.42</v>
      </c>
    </row>
    <row r="143" spans="7:8" x14ac:dyDescent="0.25">
      <c r="G143" s="2" t="s">
        <v>190</v>
      </c>
      <c r="H143">
        <v>3894.44</v>
      </c>
    </row>
    <row r="144" spans="7:8" x14ac:dyDescent="0.25">
      <c r="G144" s="2" t="s">
        <v>192</v>
      </c>
      <c r="H144">
        <v>24677.789999999997</v>
      </c>
    </row>
    <row r="145" spans="7:8" x14ac:dyDescent="0.25">
      <c r="G145" s="2" t="s">
        <v>194</v>
      </c>
      <c r="H145">
        <v>143051.4</v>
      </c>
    </row>
    <row r="146" spans="7:8" x14ac:dyDescent="0.25">
      <c r="G146" s="2" t="s">
        <v>196</v>
      </c>
      <c r="H146">
        <v>163217.60000000001</v>
      </c>
    </row>
    <row r="147" spans="7:8" x14ac:dyDescent="0.25">
      <c r="G147" s="2" t="s">
        <v>36</v>
      </c>
      <c r="H147">
        <v>145885.9</v>
      </c>
    </row>
    <row r="148" spans="7:8" x14ac:dyDescent="0.25">
      <c r="G148" s="2" t="s">
        <v>198</v>
      </c>
      <c r="H148">
        <v>8612.1999999999989</v>
      </c>
    </row>
    <row r="149" spans="7:8" x14ac:dyDescent="0.25">
      <c r="G149" s="2" t="s">
        <v>200</v>
      </c>
      <c r="H149">
        <v>27731.539999999997</v>
      </c>
    </row>
    <row r="150" spans="7:8" x14ac:dyDescent="0.25">
      <c r="G150" s="2" t="s">
        <v>202</v>
      </c>
      <c r="H150">
        <v>78393.63</v>
      </c>
    </row>
    <row r="151" spans="7:8" x14ac:dyDescent="0.25">
      <c r="G151" s="2" t="s">
        <v>204</v>
      </c>
      <c r="H151">
        <v>179930.6</v>
      </c>
    </row>
    <row r="152" spans="7:8" x14ac:dyDescent="0.25">
      <c r="G152" s="2" t="s">
        <v>206</v>
      </c>
      <c r="H152">
        <v>31003.200000000001</v>
      </c>
    </row>
    <row r="153" spans="7:8" x14ac:dyDescent="0.25">
      <c r="G153" s="2" t="s">
        <v>208</v>
      </c>
      <c r="H153">
        <v>19153.75</v>
      </c>
    </row>
    <row r="154" spans="7:8" x14ac:dyDescent="0.25">
      <c r="G154" s="2" t="s">
        <v>210</v>
      </c>
      <c r="H154">
        <v>10537.02</v>
      </c>
    </row>
    <row r="155" spans="7:8" x14ac:dyDescent="0.25">
      <c r="G155" s="2" t="s">
        <v>212</v>
      </c>
      <c r="H155">
        <v>85505.88</v>
      </c>
    </row>
    <row r="156" spans="7:8" x14ac:dyDescent="0.25">
      <c r="G156" s="2" t="s">
        <v>214</v>
      </c>
      <c r="H156">
        <v>133482.66</v>
      </c>
    </row>
    <row r="157" spans="7:8" x14ac:dyDescent="0.25">
      <c r="G157" s="2" t="s">
        <v>216</v>
      </c>
      <c r="H157">
        <v>9872.52</v>
      </c>
    </row>
    <row r="158" spans="7:8" x14ac:dyDescent="0.25">
      <c r="G158" s="2" t="s">
        <v>222</v>
      </c>
      <c r="H158">
        <v>5943897.1300000027</v>
      </c>
    </row>
  </sheetData>
  <pageMargins left="0.7" right="0.7" top="0.75" bottom="0.75" header="0.3" footer="0.3"/>
  <drawing r:id="rId20"/>
  <extLst>
    <ext xmlns:x14="http://schemas.microsoft.com/office/spreadsheetml/2009/9/main" uri="{A8765BA9-456A-4dab-B4F3-ACF838C121DE}">
      <x14:slicerList>
        <x14:slicer r:id="rId21"/>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64BBE6-B200-4F47-9209-CE6AA7889AE9}">
  <sheetPr codeName="Sheet6"/>
  <dimension ref="A1"/>
  <sheetViews>
    <sheetView showGridLines="0" tabSelected="1" topLeftCell="A695" zoomScale="81" zoomScaleNormal="81" workbookViewId="0">
      <selection activeCell="F139" sqref="F139"/>
    </sheetView>
  </sheetViews>
  <sheetFormatPr defaultRowHeight="13.8"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6280FF6-496D-4BB7-BB39-EC9DFC9964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PivotTable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Ayesha Banu</dc:creator>
  <cp:lastModifiedBy>Ayesha Banu</cp:lastModifiedBy>
  <dcterms:created xsi:type="dcterms:W3CDTF">2025-05-04T17:04:13Z</dcterms:created>
  <dcterms:modified xsi:type="dcterms:W3CDTF">2025-05-28T16:03:48Z</dcterms:modified>
</cp:coreProperties>
</file>